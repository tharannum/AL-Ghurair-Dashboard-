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im_Products" sheetId="2" state="visible" r:id="rId2"/>
    <sheet xmlns:r="http://schemas.openxmlformats.org/officeDocument/2006/relationships" name="Dim_Suppliers" sheetId="3" state="visible" r:id="rId3"/>
    <sheet xmlns:r="http://schemas.openxmlformats.org/officeDocument/2006/relationships" name="Dim_Warehouses" sheetId="4" state="visible" r:id="rId4"/>
    <sheet xmlns:r="http://schemas.openxmlformats.org/officeDocument/2006/relationships" name="Fact_Inventory" sheetId="5" state="visible" r:id="rId5"/>
    <sheet xmlns:r="http://schemas.openxmlformats.org/officeDocument/2006/relationships" name="Fact_PurchaseOrders" sheetId="6" state="visible" r:id="rId6"/>
    <sheet xmlns:r="http://schemas.openxmlformats.org/officeDocument/2006/relationships" name="Fact_StockMove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AED #,##0.00"/>
    <numFmt numFmtId="165" formatCode="#,##0;[Red]-#,##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B365D"/>
      <sz val="16"/>
    </font>
    <font>
      <name val="Arial"/>
      <i val="1"/>
      <color rgb="00555555"/>
      <sz val="10"/>
    </font>
    <font>
      <name val="Arial"/>
      <b val="1"/>
      <color rgb="00555555"/>
      <sz val="9"/>
    </font>
    <font>
      <name val="Arial"/>
      <b val="1"/>
      <color rgb="001B365D"/>
      <sz val="14"/>
    </font>
    <font>
      <name val="Arial"/>
      <b val="1"/>
      <color rgb="001B365D"/>
      <sz val="13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7FA"/>
        <bgColor rgb="00F4F7FA"/>
      </patternFill>
    </fill>
    <fill>
      <patternFill patternType="solid">
        <fgColor rgb="00EAECEE"/>
        <bgColor rgb="00EAECEE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</border>
    <border>
      <left style="thin">
        <color rgb="00D9D9D9"/>
      </left>
      <right style="thin">
        <color rgb="00D9D9D9"/>
      </right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4" borderId="2" applyAlignment="1" pivotButton="0" quotePrefix="0" xfId="0">
      <alignment horizontal="center" vertical="center"/>
    </xf>
    <xf numFmtId="164" fontId="7" fillId="4" borderId="3" applyAlignment="1" pivotButton="0" quotePrefix="0" xfId="0">
      <alignment horizontal="center" vertical="center"/>
    </xf>
    <xf numFmtId="3" fontId="7" fillId="4" borderId="3" applyAlignment="1" pivotButton="0" quotePrefix="0" xfId="0">
      <alignment horizontal="center" vertical="center"/>
    </xf>
    <xf numFmtId="0" fontId="8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3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3" fillId="3" borderId="1" applyAlignment="1" pivotButton="0" quotePrefix="0" xfId="0">
      <alignment horizontal="center"/>
    </xf>
    <xf numFmtId="165" fontId="2" fillId="0" borderId="1" applyAlignment="1" pivotButton="0" quotePrefix="0" xfId="0">
      <alignment horizontal="right"/>
    </xf>
    <xf numFmtId="165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12" customWidth="1" min="8" max="8"/>
  </cols>
  <sheetData>
    <row r="1"/>
    <row r="2">
      <c r="B2" s="1" t="inlineStr">
        <is>
          <t>Al Ghurair Group — Executive Procurement &amp; Inventory Dashboard</t>
        </is>
      </c>
    </row>
    <row r="3">
      <c r="B3" s="2" t="inlineStr">
        <is>
          <t>Expanded Operational Control &amp; Supply Chain KPI Report | Year 2026</t>
        </is>
      </c>
    </row>
    <row r="4"/>
    <row r="5">
      <c r="C5" s="3" t="inlineStr">
        <is>
          <t>Total Stock Value (AED)</t>
        </is>
      </c>
      <c r="E5" s="3" t="inlineStr">
        <is>
          <t>Low Stock Alert Count</t>
        </is>
      </c>
      <c r="G5" s="3" t="inlineStr">
        <is>
          <t>Total Procurement Spend</t>
        </is>
      </c>
    </row>
    <row r="6">
      <c r="C6" s="4">
        <f>SUM(Fact_Inventory!F:F)</f>
        <v/>
      </c>
      <c r="E6" s="5">
        <f>COUNTIF(Fact_Inventory!G:G, "LOW STOCK")</f>
        <v/>
      </c>
      <c r="G6" s="4">
        <f>SUM(Fact_PurchaseOrders!J:J)</f>
        <v/>
      </c>
    </row>
    <row r="7"/>
    <row r="8"/>
    <row r="9">
      <c r="B9" s="6" t="inlineStr">
        <is>
          <t>⚠️ Comprehensive SKU Inventory Health Summary</t>
        </is>
      </c>
    </row>
    <row r="10">
      <c r="B10" s="7" t="inlineStr">
        <is>
          <t>ProductID</t>
        </is>
      </c>
      <c r="C10" s="7" t="inlineStr">
        <is>
          <t>SKU</t>
        </is>
      </c>
      <c r="D10" s="7" t="inlineStr">
        <is>
          <t>ProductName</t>
        </is>
      </c>
      <c r="E10" s="7" t="inlineStr">
        <is>
          <t>Qty On Hand</t>
        </is>
      </c>
      <c r="F10" s="7" t="inlineStr">
        <is>
          <t>Reorder Level</t>
        </is>
      </c>
      <c r="G10" s="7" t="inlineStr">
        <is>
          <t>Status</t>
        </is>
      </c>
    </row>
    <row r="11">
      <c r="B11" s="8" t="inlineStr">
        <is>
          <t>P101</t>
        </is>
      </c>
      <c r="C11" s="8">
        <f>VLOOKUP(B11, Dim_Products!A:F, 2, FALSE)</f>
        <v/>
      </c>
      <c r="D11" s="9">
        <f>VLOOKUP(B11, Dim_Products!A:F, 3, FALSE)</f>
        <v/>
      </c>
      <c r="E11" s="10">
        <f>SUMIF(Fact_Inventory!B:B, B11, Fact_Inventory!D:D)</f>
        <v/>
      </c>
      <c r="F11" s="10">
        <f>VLOOKUP(B11, Dim_Products!A:F, 5, FALSE)</f>
        <v/>
      </c>
      <c r="G11" s="11">
        <f>IF(E11&lt;F11, "ACTION REQ", "HEALTHY")</f>
        <v/>
      </c>
    </row>
    <row r="12">
      <c r="B12" s="8" t="inlineStr">
        <is>
          <t>P102</t>
        </is>
      </c>
      <c r="C12" s="8">
        <f>VLOOKUP(B12, Dim_Products!A:F, 2, FALSE)</f>
        <v/>
      </c>
      <c r="D12" s="9">
        <f>VLOOKUP(B12, Dim_Products!A:F, 3, FALSE)</f>
        <v/>
      </c>
      <c r="E12" s="10">
        <f>SUMIF(Fact_Inventory!B:B, B12, Fact_Inventory!D:D)</f>
        <v/>
      </c>
      <c r="F12" s="10">
        <f>VLOOKUP(B12, Dim_Products!A:F, 5, FALSE)</f>
        <v/>
      </c>
      <c r="G12" s="11">
        <f>IF(E12&lt;F12, "ACTION REQ", "HEALTHY")</f>
        <v/>
      </c>
    </row>
    <row r="13">
      <c r="B13" s="8" t="inlineStr">
        <is>
          <t>P103</t>
        </is>
      </c>
      <c r="C13" s="8">
        <f>VLOOKUP(B13, Dim_Products!A:F, 2, FALSE)</f>
        <v/>
      </c>
      <c r="D13" s="9">
        <f>VLOOKUP(B13, Dim_Products!A:F, 3, FALSE)</f>
        <v/>
      </c>
      <c r="E13" s="10">
        <f>SUMIF(Fact_Inventory!B:B, B13, Fact_Inventory!D:D)</f>
        <v/>
      </c>
      <c r="F13" s="10">
        <f>VLOOKUP(B13, Dim_Products!A:F, 5, FALSE)</f>
        <v/>
      </c>
      <c r="G13" s="11">
        <f>IF(E13&lt;F13, "ACTION REQ", "HEALTHY")</f>
        <v/>
      </c>
    </row>
    <row r="14">
      <c r="B14" s="8" t="inlineStr">
        <is>
          <t>P104</t>
        </is>
      </c>
      <c r="C14" s="8">
        <f>VLOOKUP(B14, Dim_Products!A:F, 2, FALSE)</f>
        <v/>
      </c>
      <c r="D14" s="9">
        <f>VLOOKUP(B14, Dim_Products!A:F, 3, FALSE)</f>
        <v/>
      </c>
      <c r="E14" s="10">
        <f>SUMIF(Fact_Inventory!B:B, B14, Fact_Inventory!D:D)</f>
        <v/>
      </c>
      <c r="F14" s="10">
        <f>VLOOKUP(B14, Dim_Products!A:F, 5, FALSE)</f>
        <v/>
      </c>
      <c r="G14" s="11">
        <f>IF(E14&lt;F14, "ACTION REQ", "HEALTHY")</f>
        <v/>
      </c>
    </row>
    <row r="15">
      <c r="B15" s="8" t="inlineStr">
        <is>
          <t>P105</t>
        </is>
      </c>
      <c r="C15" s="8">
        <f>VLOOKUP(B15, Dim_Products!A:F, 2, FALSE)</f>
        <v/>
      </c>
      <c r="D15" s="9">
        <f>VLOOKUP(B15, Dim_Products!A:F, 3, FALSE)</f>
        <v/>
      </c>
      <c r="E15" s="10">
        <f>SUMIF(Fact_Inventory!B:B, B15, Fact_Inventory!D:D)</f>
        <v/>
      </c>
      <c r="F15" s="10">
        <f>VLOOKUP(B15, Dim_Products!A:F, 5, FALSE)</f>
        <v/>
      </c>
      <c r="G15" s="11">
        <f>IF(E15&lt;F15, "ACTION REQ", "HEALTHY")</f>
        <v/>
      </c>
    </row>
    <row r="16">
      <c r="B16" s="8" t="inlineStr">
        <is>
          <t>P106</t>
        </is>
      </c>
      <c r="C16" s="8">
        <f>VLOOKUP(B16, Dim_Products!A:F, 2, FALSE)</f>
        <v/>
      </c>
      <c r="D16" s="9">
        <f>VLOOKUP(B16, Dim_Products!A:F, 3, FALSE)</f>
        <v/>
      </c>
      <c r="E16" s="10">
        <f>SUMIF(Fact_Inventory!B:B, B16, Fact_Inventory!D:D)</f>
        <v/>
      </c>
      <c r="F16" s="10">
        <f>VLOOKUP(B16, Dim_Products!A:F, 5, FALSE)</f>
        <v/>
      </c>
      <c r="G16" s="11">
        <f>IF(E16&lt;F16, "ACTION REQ", "HEALTHY")</f>
        <v/>
      </c>
    </row>
    <row r="17">
      <c r="B17" s="8" t="inlineStr">
        <is>
          <t>P107</t>
        </is>
      </c>
      <c r="C17" s="8">
        <f>VLOOKUP(B17, Dim_Products!A:F, 2, FALSE)</f>
        <v/>
      </c>
      <c r="D17" s="9">
        <f>VLOOKUP(B17, Dim_Products!A:F, 3, FALSE)</f>
        <v/>
      </c>
      <c r="E17" s="10">
        <f>SUMIF(Fact_Inventory!B:B, B17, Fact_Inventory!D:D)</f>
        <v/>
      </c>
      <c r="F17" s="10">
        <f>VLOOKUP(B17, Dim_Products!A:F, 5, FALSE)</f>
        <v/>
      </c>
      <c r="G17" s="11">
        <f>IF(E17&lt;F17, "ACTION REQ", "HEALTHY")</f>
        <v/>
      </c>
    </row>
    <row r="18">
      <c r="B18" s="8" t="inlineStr">
        <is>
          <t>P108</t>
        </is>
      </c>
      <c r="C18" s="8">
        <f>VLOOKUP(B18, Dim_Products!A:F, 2, FALSE)</f>
        <v/>
      </c>
      <c r="D18" s="9">
        <f>VLOOKUP(B18, Dim_Products!A:F, 3, FALSE)</f>
        <v/>
      </c>
      <c r="E18" s="10">
        <f>SUMIF(Fact_Inventory!B:B, B18, Fact_Inventory!D:D)</f>
        <v/>
      </c>
      <c r="F18" s="10">
        <f>VLOOKUP(B18, Dim_Products!A:F, 5, FALSE)</f>
        <v/>
      </c>
      <c r="G18" s="11">
        <f>IF(E18&lt;F18, "ACTION REQ", "HEALTHY")</f>
        <v/>
      </c>
    </row>
    <row r="19">
      <c r="B19" s="8" t="inlineStr">
        <is>
          <t>P109</t>
        </is>
      </c>
      <c r="C19" s="8">
        <f>VLOOKUP(B19, Dim_Products!A:F, 2, FALSE)</f>
        <v/>
      </c>
      <c r="D19" s="9">
        <f>VLOOKUP(B19, Dim_Products!A:F, 3, FALSE)</f>
        <v/>
      </c>
      <c r="E19" s="10">
        <f>SUMIF(Fact_Inventory!B:B, B19, Fact_Inventory!D:D)</f>
        <v/>
      </c>
      <c r="F19" s="10">
        <f>VLOOKUP(B19, Dim_Products!A:F, 5, FALSE)</f>
        <v/>
      </c>
      <c r="G19" s="11">
        <f>IF(E19&lt;F19, "ACTION REQ", "HEALTHY")</f>
        <v/>
      </c>
    </row>
    <row r="20">
      <c r="B20" s="8" t="inlineStr">
        <is>
          <t>P110</t>
        </is>
      </c>
      <c r="C20" s="8">
        <f>VLOOKUP(B20, Dim_Products!A:F, 2, FALSE)</f>
        <v/>
      </c>
      <c r="D20" s="9">
        <f>VLOOKUP(B20, Dim_Products!A:F, 3, FALSE)</f>
        <v/>
      </c>
      <c r="E20" s="10">
        <f>SUMIF(Fact_Inventory!B:B, B20, Fact_Inventory!D:D)</f>
        <v/>
      </c>
      <c r="F20" s="10">
        <f>VLOOKUP(B20, Dim_Products!A:F, 5, FALSE)</f>
        <v/>
      </c>
      <c r="G20" s="11">
        <f>IF(E20&lt;F20, "ACTION REQ", "HEALTHY")</f>
        <v/>
      </c>
    </row>
    <row r="21">
      <c r="B21" s="8" t="inlineStr">
        <is>
          <t>P111</t>
        </is>
      </c>
      <c r="C21" s="8">
        <f>VLOOKUP(B21, Dim_Products!A:F, 2, FALSE)</f>
        <v/>
      </c>
      <c r="D21" s="9">
        <f>VLOOKUP(B21, Dim_Products!A:F, 3, FALSE)</f>
        <v/>
      </c>
      <c r="E21" s="10">
        <f>SUMIF(Fact_Inventory!B:B, B21, Fact_Inventory!D:D)</f>
        <v/>
      </c>
      <c r="F21" s="10">
        <f>VLOOKUP(B21, Dim_Products!A:F, 5, FALSE)</f>
        <v/>
      </c>
      <c r="G21" s="11">
        <f>IF(E21&lt;F21, "ACTION REQ", "HEALTHY")</f>
        <v/>
      </c>
    </row>
    <row r="22">
      <c r="B22" s="8" t="inlineStr">
        <is>
          <t>P112</t>
        </is>
      </c>
      <c r="C22" s="8">
        <f>VLOOKUP(B22, Dim_Products!A:F, 2, FALSE)</f>
        <v/>
      </c>
      <c r="D22" s="9">
        <f>VLOOKUP(B22, Dim_Products!A:F, 3, FALSE)</f>
        <v/>
      </c>
      <c r="E22" s="10">
        <f>SUMIF(Fact_Inventory!B:B, B22, Fact_Inventory!D:D)</f>
        <v/>
      </c>
      <c r="F22" s="10">
        <f>VLOOKUP(B22, Dim_Products!A:F, 5, FALSE)</f>
        <v/>
      </c>
      <c r="G22" s="11">
        <f>IF(E22&lt;F22, "ACTION REQ", "HEALTHY")</f>
        <v/>
      </c>
    </row>
    <row r="23">
      <c r="B23" s="8" t="inlineStr">
        <is>
          <t>P113</t>
        </is>
      </c>
      <c r="C23" s="8">
        <f>VLOOKUP(B23, Dim_Products!A:F, 2, FALSE)</f>
        <v/>
      </c>
      <c r="D23" s="9">
        <f>VLOOKUP(B23, Dim_Products!A:F, 3, FALSE)</f>
        <v/>
      </c>
      <c r="E23" s="10">
        <f>SUMIF(Fact_Inventory!B:B, B23, Fact_Inventory!D:D)</f>
        <v/>
      </c>
      <c r="F23" s="10">
        <f>VLOOKUP(B23, Dim_Products!A:F, 5, FALSE)</f>
        <v/>
      </c>
      <c r="G23" s="11">
        <f>IF(E23&lt;F23, "ACTION REQ", "HEALTHY")</f>
        <v/>
      </c>
    </row>
    <row r="24">
      <c r="B24" s="8" t="inlineStr">
        <is>
          <t>P114</t>
        </is>
      </c>
      <c r="C24" s="8">
        <f>VLOOKUP(B24, Dim_Products!A:F, 2, FALSE)</f>
        <v/>
      </c>
      <c r="D24" s="9">
        <f>VLOOKUP(B24, Dim_Products!A:F, 3, FALSE)</f>
        <v/>
      </c>
      <c r="E24" s="10">
        <f>SUMIF(Fact_Inventory!B:B, B24, Fact_Inventory!D:D)</f>
        <v/>
      </c>
      <c r="F24" s="10">
        <f>VLOOKUP(B24, Dim_Products!A:F, 5, FALSE)</f>
        <v/>
      </c>
      <c r="G24" s="11">
        <f>IF(E24&lt;F24, "ACTION REQ", "HEALTHY")</f>
        <v/>
      </c>
    </row>
    <row r="25">
      <c r="B25" s="8" t="inlineStr">
        <is>
          <t>P115</t>
        </is>
      </c>
      <c r="C25" s="8">
        <f>VLOOKUP(B25, Dim_Products!A:F, 2, FALSE)</f>
        <v/>
      </c>
      <c r="D25" s="9">
        <f>VLOOKUP(B25, Dim_Products!A:F, 3, FALSE)</f>
        <v/>
      </c>
      <c r="E25" s="10">
        <f>SUMIF(Fact_Inventory!B:B, B25, Fact_Inventory!D:D)</f>
        <v/>
      </c>
      <c r="F25" s="10">
        <f>VLOOKUP(B25, Dim_Products!A:F, 5, FALSE)</f>
        <v/>
      </c>
      <c r="G25" s="11">
        <f>IF(E25&lt;F25, "ACTION REQ", "HEALTHY")</f>
        <v/>
      </c>
    </row>
    <row r="26">
      <c r="B26" s="8" t="inlineStr">
        <is>
          <t>P116</t>
        </is>
      </c>
      <c r="C26" s="8">
        <f>VLOOKUP(B26, Dim_Products!A:F, 2, FALSE)</f>
        <v/>
      </c>
      <c r="D26" s="9">
        <f>VLOOKUP(B26, Dim_Products!A:F, 3, FALSE)</f>
        <v/>
      </c>
      <c r="E26" s="10">
        <f>SUMIF(Fact_Inventory!B:B, B26, Fact_Inventory!D:D)</f>
        <v/>
      </c>
      <c r="F26" s="10">
        <f>VLOOKUP(B26, Dim_Products!A:F, 5, FALSE)</f>
        <v/>
      </c>
      <c r="G26" s="11">
        <f>IF(E26&lt;F26, "ACTION REQ", "HEALTHY")</f>
        <v/>
      </c>
    </row>
    <row r="27">
      <c r="B27" s="8" t="inlineStr">
        <is>
          <t>P117</t>
        </is>
      </c>
      <c r="C27" s="8">
        <f>VLOOKUP(B27, Dim_Products!A:F, 2, FALSE)</f>
        <v/>
      </c>
      <c r="D27" s="9">
        <f>VLOOKUP(B27, Dim_Products!A:F, 3, FALSE)</f>
        <v/>
      </c>
      <c r="E27" s="10">
        <f>SUMIF(Fact_Inventory!B:B, B27, Fact_Inventory!D:D)</f>
        <v/>
      </c>
      <c r="F27" s="10">
        <f>VLOOKUP(B27, Dim_Products!A:F, 5, FALSE)</f>
        <v/>
      </c>
      <c r="G27" s="11">
        <f>IF(E27&lt;F27, "ACTION REQ", "HEALTHY")</f>
        <v/>
      </c>
    </row>
    <row r="28">
      <c r="B28" s="8" t="inlineStr">
        <is>
          <t>P118</t>
        </is>
      </c>
      <c r="C28" s="8">
        <f>VLOOKUP(B28, Dim_Products!A:F, 2, FALSE)</f>
        <v/>
      </c>
      <c r="D28" s="9">
        <f>VLOOKUP(B28, Dim_Products!A:F, 3, FALSE)</f>
        <v/>
      </c>
      <c r="E28" s="10">
        <f>SUMIF(Fact_Inventory!B:B, B28, Fact_Inventory!D:D)</f>
        <v/>
      </c>
      <c r="F28" s="10">
        <f>VLOOKUP(B28, Dim_Products!A:F, 5, FALSE)</f>
        <v/>
      </c>
      <c r="G28" s="11">
        <f>IF(E28&lt;F28, "ACTION REQ", "HEALTHY")</f>
        <v/>
      </c>
    </row>
    <row r="29">
      <c r="B29" s="8" t="inlineStr">
        <is>
          <t>P119</t>
        </is>
      </c>
      <c r="C29" s="8">
        <f>VLOOKUP(B29, Dim_Products!A:F, 2, FALSE)</f>
        <v/>
      </c>
      <c r="D29" s="9">
        <f>VLOOKUP(B29, Dim_Products!A:F, 3, FALSE)</f>
        <v/>
      </c>
      <c r="E29" s="10">
        <f>SUMIF(Fact_Inventory!B:B, B29, Fact_Inventory!D:D)</f>
        <v/>
      </c>
      <c r="F29" s="10">
        <f>VLOOKUP(B29, Dim_Products!A:F, 5, FALSE)</f>
        <v/>
      </c>
      <c r="G29" s="11">
        <f>IF(E29&lt;F29, "ACTION REQ", "HEALTHY")</f>
        <v/>
      </c>
    </row>
    <row r="30">
      <c r="B30" s="8" t="inlineStr">
        <is>
          <t>P120</t>
        </is>
      </c>
      <c r="C30" s="8">
        <f>VLOOKUP(B30, Dim_Products!A:F, 2, FALSE)</f>
        <v/>
      </c>
      <c r="D30" s="9">
        <f>VLOOKUP(B30, Dim_Products!A:F, 3, FALSE)</f>
        <v/>
      </c>
      <c r="E30" s="10">
        <f>SUMIF(Fact_Inventory!B:B, B30, Fact_Inventory!D:D)</f>
        <v/>
      </c>
      <c r="F30" s="10">
        <f>VLOOKUP(B30, Dim_Products!A:F, 5, FALSE)</f>
        <v/>
      </c>
      <c r="G30" s="11">
        <f>IF(E30&lt;F30, "ACTION REQ", "HEALTHY")</f>
        <v/>
      </c>
    </row>
  </sheetData>
  <mergeCells count="2">
    <mergeCell ref="B3:H3"/>
    <mergeCell ref="B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30" customWidth="1" min="3" max="3"/>
    <col width="17" customWidth="1" min="4" max="4"/>
    <col width="16" customWidth="1" min="5" max="5"/>
    <col width="19" customWidth="1" min="6" max="6"/>
  </cols>
  <sheetData>
    <row r="1">
      <c r="A1" s="12" t="inlineStr">
        <is>
          <t>ProductID</t>
        </is>
      </c>
      <c r="B1" s="12" t="inlineStr">
        <is>
          <t>SKU</t>
        </is>
      </c>
      <c r="C1" s="12" t="inlineStr">
        <is>
          <t>ProductName</t>
        </is>
      </c>
      <c r="D1" s="12" t="inlineStr">
        <is>
          <t>Category</t>
        </is>
      </c>
      <c r="E1" s="12" t="inlineStr">
        <is>
          <t>ReorderLevel</t>
        </is>
      </c>
      <c r="F1" s="12" t="inlineStr">
        <is>
          <t>StandardCostAED</t>
        </is>
      </c>
    </row>
    <row r="2">
      <c r="A2" s="8" t="inlineStr">
        <is>
          <t>P101</t>
        </is>
      </c>
      <c r="B2" s="8" t="inlineStr">
        <is>
          <t>SKU-AL-01</t>
        </is>
      </c>
      <c r="C2" s="9" t="inlineStr">
        <is>
          <t>Aluminum Sheets 2mm</t>
        </is>
      </c>
      <c r="D2" s="9" t="inlineStr">
        <is>
          <t>Raw Materials</t>
        </is>
      </c>
      <c r="E2" s="10" t="n">
        <v>150</v>
      </c>
      <c r="F2" s="13" t="n">
        <v>120</v>
      </c>
    </row>
    <row r="3">
      <c r="A3" s="14" t="inlineStr">
        <is>
          <t>P102</t>
        </is>
      </c>
      <c r="B3" s="14" t="inlineStr">
        <is>
          <t>SKU-AL-02</t>
        </is>
      </c>
      <c r="C3" s="15" t="inlineStr">
        <is>
          <t>Steel Rods 10mm</t>
        </is>
      </c>
      <c r="D3" s="15" t="inlineStr">
        <is>
          <t>Raw Materials</t>
        </is>
      </c>
      <c r="E3" s="16" t="n">
        <v>200</v>
      </c>
      <c r="F3" s="17" t="n">
        <v>85</v>
      </c>
    </row>
    <row r="4">
      <c r="A4" s="8" t="inlineStr">
        <is>
          <t>P103</t>
        </is>
      </c>
      <c r="B4" s="8" t="inlineStr">
        <is>
          <t>SKU-PKG-01</t>
        </is>
      </c>
      <c r="C4" s="9" t="inlineStr">
        <is>
          <t>Corrugated Boxes L</t>
        </is>
      </c>
      <c r="D4" s="9" t="inlineStr">
        <is>
          <t>Packaging</t>
        </is>
      </c>
      <c r="E4" s="10" t="n">
        <v>500</v>
      </c>
      <c r="F4" s="13" t="n">
        <v>5.5</v>
      </c>
    </row>
    <row r="5">
      <c r="A5" s="14" t="inlineStr">
        <is>
          <t>P104</t>
        </is>
      </c>
      <c r="B5" s="14" t="inlineStr">
        <is>
          <t>SKU-MNT-01</t>
        </is>
      </c>
      <c r="C5" s="15" t="inlineStr">
        <is>
          <t>Industrial Lubricant 5L</t>
        </is>
      </c>
      <c r="D5" s="15" t="inlineStr">
        <is>
          <t>Maintenance</t>
        </is>
      </c>
      <c r="E5" s="16" t="n">
        <v>50</v>
      </c>
      <c r="F5" s="17" t="n">
        <v>210</v>
      </c>
    </row>
    <row r="6">
      <c r="A6" s="8" t="inlineStr">
        <is>
          <t>P105</t>
        </is>
      </c>
      <c r="B6" s="8" t="inlineStr">
        <is>
          <t>SKU-EL-01</t>
        </is>
      </c>
      <c r="C6" s="9" t="inlineStr">
        <is>
          <t>Copper Wiring 50m</t>
        </is>
      </c>
      <c r="D6" s="9" t="inlineStr">
        <is>
          <t>Electrical</t>
        </is>
      </c>
      <c r="E6" s="10" t="n">
        <v>80</v>
      </c>
      <c r="F6" s="13" t="n">
        <v>340</v>
      </c>
    </row>
    <row r="7">
      <c r="A7" s="14" t="inlineStr">
        <is>
          <t>P106</t>
        </is>
      </c>
      <c r="B7" s="14" t="inlineStr">
        <is>
          <t>SKU-AL-03</t>
        </is>
      </c>
      <c r="C7" s="15" t="inlineStr">
        <is>
          <t>Aluminum Extrusion Bar</t>
        </is>
      </c>
      <c r="D7" s="15" t="inlineStr">
        <is>
          <t>Raw Materials</t>
        </is>
      </c>
      <c r="E7" s="16" t="n">
        <v>100</v>
      </c>
      <c r="F7" s="17" t="n">
        <v>195</v>
      </c>
    </row>
    <row r="8">
      <c r="A8" s="8" t="inlineStr">
        <is>
          <t>P107</t>
        </is>
      </c>
      <c r="B8" s="8" t="inlineStr">
        <is>
          <t>SKU-SFT-01</t>
        </is>
      </c>
      <c r="C8" s="9" t="inlineStr">
        <is>
          <t>Industrial Safety Gloves</t>
        </is>
      </c>
      <c r="D8" s="9" t="inlineStr">
        <is>
          <t>PPE</t>
        </is>
      </c>
      <c r="E8" s="10" t="n">
        <v>300</v>
      </c>
      <c r="F8" s="13" t="n">
        <v>15</v>
      </c>
    </row>
    <row r="9">
      <c r="A9" s="14" t="inlineStr">
        <is>
          <t>P108</t>
        </is>
      </c>
      <c r="B9" s="14" t="inlineStr">
        <is>
          <t>SKU-MNT-02</t>
        </is>
      </c>
      <c r="C9" s="15" t="inlineStr">
        <is>
          <t>Hydraulic Fluid 20L</t>
        </is>
      </c>
      <c r="D9" s="15" t="inlineStr">
        <is>
          <t>Maintenance</t>
        </is>
      </c>
      <c r="E9" s="16" t="n">
        <v>40</v>
      </c>
      <c r="F9" s="17" t="n">
        <v>450</v>
      </c>
    </row>
    <row r="10">
      <c r="A10" s="8" t="inlineStr">
        <is>
          <t>P109</t>
        </is>
      </c>
      <c r="B10" s="8" t="inlineStr">
        <is>
          <t>SKU-SFT-02</t>
        </is>
      </c>
      <c r="C10" s="9" t="inlineStr">
        <is>
          <t>High-Vis Safety Vests</t>
        </is>
      </c>
      <c r="D10" s="9" t="inlineStr">
        <is>
          <t>PPE</t>
        </is>
      </c>
      <c r="E10" s="10" t="n">
        <v>200</v>
      </c>
      <c r="F10" s="13" t="n">
        <v>25</v>
      </c>
    </row>
    <row r="11">
      <c r="A11" s="14" t="inlineStr">
        <is>
          <t>P110</t>
        </is>
      </c>
      <c r="B11" s="14" t="inlineStr">
        <is>
          <t>SKU-EL-02</t>
        </is>
      </c>
      <c r="C11" s="15" t="inlineStr">
        <is>
          <t>Circuit Breakers 3-Phase</t>
        </is>
      </c>
      <c r="D11" s="15" t="inlineStr">
        <is>
          <t>Electrical</t>
        </is>
      </c>
      <c r="E11" s="16" t="n">
        <v>60</v>
      </c>
      <c r="F11" s="17" t="n">
        <v>280</v>
      </c>
    </row>
    <row r="12">
      <c r="A12" s="8" t="inlineStr">
        <is>
          <t>P111</t>
        </is>
      </c>
      <c r="B12" s="8" t="inlineStr">
        <is>
          <t>SKU-PKG-02</t>
        </is>
      </c>
      <c r="C12" s="9" t="inlineStr">
        <is>
          <t>Heavy Duty Stretch Film</t>
        </is>
      </c>
      <c r="D12" s="9" t="inlineStr">
        <is>
          <t>Packaging</t>
        </is>
      </c>
      <c r="E12" s="10" t="n">
        <v>150</v>
      </c>
      <c r="F12" s="13" t="n">
        <v>42</v>
      </c>
    </row>
    <row r="13">
      <c r="A13" s="14" t="inlineStr">
        <is>
          <t>P112</t>
        </is>
      </c>
      <c r="B13" s="14" t="inlineStr">
        <is>
          <t>SKU-ST-01</t>
        </is>
      </c>
      <c r="C13" s="15" t="inlineStr">
        <is>
          <t>Stainless Steel Plates 5mm</t>
        </is>
      </c>
      <c r="D13" s="15" t="inlineStr">
        <is>
          <t>Raw Materials</t>
        </is>
      </c>
      <c r="E13" s="16" t="n">
        <v>120</v>
      </c>
      <c r="F13" s="17" t="n">
        <v>310</v>
      </c>
    </row>
    <row r="14">
      <c r="A14" s="8" t="inlineStr">
        <is>
          <t>P113</t>
        </is>
      </c>
      <c r="B14" s="8" t="inlineStr">
        <is>
          <t>SKU-MNT-03</t>
        </is>
      </c>
      <c r="C14" s="9" t="inlineStr">
        <is>
          <t>Industrial Bearing Sets</t>
        </is>
      </c>
      <c r="D14" s="9" t="inlineStr">
        <is>
          <t>Maintenance</t>
        </is>
      </c>
      <c r="E14" s="10" t="n">
        <v>75</v>
      </c>
      <c r="F14" s="13" t="n">
        <v>180</v>
      </c>
    </row>
    <row r="15">
      <c r="A15" s="14" t="inlineStr">
        <is>
          <t>P114</t>
        </is>
      </c>
      <c r="B15" s="14" t="inlineStr">
        <is>
          <t>SKU-AL-04</t>
        </is>
      </c>
      <c r="C15" s="15" t="inlineStr">
        <is>
          <t>Aluminum Coils 0.8mm</t>
        </is>
      </c>
      <c r="D15" s="15" t="inlineStr">
        <is>
          <t>Raw Materials</t>
        </is>
      </c>
      <c r="E15" s="16" t="n">
        <v>90</v>
      </c>
      <c r="F15" s="17" t="n">
        <v>850</v>
      </c>
    </row>
    <row r="16">
      <c r="A16" s="8" t="inlineStr">
        <is>
          <t>P115</t>
        </is>
      </c>
      <c r="B16" s="8" t="inlineStr">
        <is>
          <t>SKU-PKG-03</t>
        </is>
      </c>
      <c r="C16" s="9" t="inlineStr">
        <is>
          <t>Wooden Pallets Standard</t>
        </is>
      </c>
      <c r="D16" s="9" t="inlineStr">
        <is>
          <t>Packaging</t>
        </is>
      </c>
      <c r="E16" s="10" t="n">
        <v>250</v>
      </c>
      <c r="F16" s="13" t="n">
        <v>65</v>
      </c>
    </row>
    <row r="17">
      <c r="A17" s="14" t="inlineStr">
        <is>
          <t>P116</t>
        </is>
      </c>
      <c r="B17" s="14" t="inlineStr">
        <is>
          <t>SKU-EL-03</t>
        </is>
      </c>
      <c r="C17" s="15" t="inlineStr">
        <is>
          <t>Industrial LED Bay Lights</t>
        </is>
      </c>
      <c r="D17" s="15" t="inlineStr">
        <is>
          <t>Electrical</t>
        </is>
      </c>
      <c r="E17" s="16" t="n">
        <v>40</v>
      </c>
      <c r="F17" s="17" t="n">
        <v>420</v>
      </c>
    </row>
    <row r="18">
      <c r="A18" s="8" t="inlineStr">
        <is>
          <t>P117</t>
        </is>
      </c>
      <c r="B18" s="8" t="inlineStr">
        <is>
          <t>SKU-SFT-03</t>
        </is>
      </c>
      <c r="C18" s="9" t="inlineStr">
        <is>
          <t>Steel-Toe Safety Boots</t>
        </is>
      </c>
      <c r="D18" s="9" t="inlineStr">
        <is>
          <t>PPE</t>
        </is>
      </c>
      <c r="E18" s="10" t="n">
        <v>100</v>
      </c>
      <c r="F18" s="13" t="n">
        <v>160</v>
      </c>
    </row>
    <row r="19">
      <c r="A19" s="14" t="inlineStr">
        <is>
          <t>P118</t>
        </is>
      </c>
      <c r="B19" s="14" t="inlineStr">
        <is>
          <t>SKU-MNT-04</t>
        </is>
      </c>
      <c r="C19" s="15" t="inlineStr">
        <is>
          <t>Pneumatic Valves 1/2in</t>
        </is>
      </c>
      <c r="D19" s="15" t="inlineStr">
        <is>
          <t>Maintenance</t>
        </is>
      </c>
      <c r="E19" s="16" t="n">
        <v>85</v>
      </c>
      <c r="F19" s="17" t="n">
        <v>125</v>
      </c>
    </row>
    <row r="20">
      <c r="A20" s="8" t="inlineStr">
        <is>
          <t>P119</t>
        </is>
      </c>
      <c r="B20" s="8" t="inlineStr">
        <is>
          <t>SKU-ST-02</t>
        </is>
      </c>
      <c r="C20" s="9" t="inlineStr">
        <is>
          <t>Galvanized Steel Pipes</t>
        </is>
      </c>
      <c r="D20" s="9" t="inlineStr">
        <is>
          <t>Raw Materials</t>
        </is>
      </c>
      <c r="E20" s="10" t="n">
        <v>180</v>
      </c>
      <c r="F20" s="13" t="n">
        <v>140</v>
      </c>
    </row>
    <row r="21">
      <c r="A21" s="14" t="inlineStr">
        <is>
          <t>P120</t>
        </is>
      </c>
      <c r="B21" s="14" t="inlineStr">
        <is>
          <t>SKU-PKG-04</t>
        </is>
      </c>
      <c r="C21" s="15" t="inlineStr">
        <is>
          <t>Industrial Poly Bags 100L</t>
        </is>
      </c>
      <c r="D21" s="15" t="inlineStr">
        <is>
          <t>Packaging</t>
        </is>
      </c>
      <c r="E21" s="16" t="n">
        <v>400</v>
      </c>
      <c r="F21" s="17" t="n">
        <v>12.5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24" customWidth="1" min="4" max="4"/>
    <col width="33" customWidth="1" min="5" max="5"/>
  </cols>
  <sheetData>
    <row r="1">
      <c r="A1" s="12" t="inlineStr">
        <is>
          <t>SupplierID</t>
        </is>
      </c>
      <c r="B1" s="12" t="inlineStr">
        <is>
          <t>SupplierName</t>
        </is>
      </c>
      <c r="C1" s="12" t="inlineStr">
        <is>
          <t>Country</t>
        </is>
      </c>
      <c r="D1" s="12" t="inlineStr">
        <is>
          <t>ContractLeadTimeDays</t>
        </is>
      </c>
      <c r="E1" s="12" t="inlineStr">
        <is>
          <t>ContactEmail</t>
        </is>
      </c>
    </row>
    <row r="2">
      <c r="A2" s="8" t="inlineStr">
        <is>
          <t>S01</t>
        </is>
      </c>
      <c r="B2" s="9" t="inlineStr">
        <is>
          <t>Emirates Steel Industries</t>
        </is>
      </c>
      <c r="C2" s="9" t="inlineStr">
        <is>
          <t>UAE</t>
        </is>
      </c>
      <c r="D2" s="10" t="n">
        <v>5</v>
      </c>
      <c r="E2" s="9" t="inlineStr">
        <is>
          <t>orders@emiratessteel.ae</t>
        </is>
      </c>
    </row>
    <row r="3">
      <c r="A3" s="14" t="inlineStr">
        <is>
          <t>S02</t>
        </is>
      </c>
      <c r="B3" s="15" t="inlineStr">
        <is>
          <t>Gulf Packaging Solutions</t>
        </is>
      </c>
      <c r="C3" s="15" t="inlineStr">
        <is>
          <t>UAE</t>
        </is>
      </c>
      <c r="D3" s="16" t="n">
        <v>3</v>
      </c>
      <c r="E3" s="15" t="inlineStr">
        <is>
          <t>sales@gulfpackaging.ae</t>
        </is>
      </c>
    </row>
    <row r="4">
      <c r="A4" s="8" t="inlineStr">
        <is>
          <t>S03</t>
        </is>
      </c>
      <c r="B4" s="9" t="inlineStr">
        <is>
          <t>Global Metals Trading</t>
        </is>
      </c>
      <c r="C4" s="9" t="inlineStr">
        <is>
          <t>Germany</t>
        </is>
      </c>
      <c r="D4" s="10" t="n">
        <v>14</v>
      </c>
      <c r="E4" s="9" t="inlineStr">
        <is>
          <t>supply@globalmetals.de</t>
        </is>
      </c>
    </row>
    <row r="5">
      <c r="A5" s="14" t="inlineStr">
        <is>
          <t>S04</t>
        </is>
      </c>
      <c r="B5" s="15" t="inlineStr">
        <is>
          <t>Apex Industrial Supplies</t>
        </is>
      </c>
      <c r="C5" s="15" t="inlineStr">
        <is>
          <t>UAE</t>
        </is>
      </c>
      <c r="D5" s="16" t="n">
        <v>4</v>
      </c>
      <c r="E5" s="15" t="inlineStr">
        <is>
          <t>info@apexindustrial.ae</t>
        </is>
      </c>
    </row>
    <row r="6">
      <c r="A6" s="8" t="inlineStr">
        <is>
          <t>S05</t>
        </is>
      </c>
      <c r="B6" s="9" t="inlineStr">
        <is>
          <t>Atlas Chemicals &amp; Fluids</t>
        </is>
      </c>
      <c r="C6" s="9" t="inlineStr">
        <is>
          <t>Saudi Arabia</t>
        </is>
      </c>
      <c r="D6" s="10" t="n">
        <v>7</v>
      </c>
      <c r="E6" s="9" t="inlineStr">
        <is>
          <t>orders@atlaschem.sa</t>
        </is>
      </c>
    </row>
    <row r="7">
      <c r="A7" s="14" t="inlineStr">
        <is>
          <t>S06</t>
        </is>
      </c>
      <c r="B7" s="15" t="inlineStr">
        <is>
          <t>Schneider Electric Gulf</t>
        </is>
      </c>
      <c r="C7" s="15" t="inlineStr">
        <is>
          <t>UAE</t>
        </is>
      </c>
      <c r="D7" s="16" t="n">
        <v>5</v>
      </c>
      <c r="E7" s="15" t="inlineStr">
        <is>
          <t>orders@se-gulf.com</t>
        </is>
      </c>
    </row>
    <row r="8">
      <c r="A8" s="8" t="inlineStr">
        <is>
          <t>S07</t>
        </is>
      </c>
      <c r="B8" s="9" t="inlineStr">
        <is>
          <t>Al Ghurair Packaging Div</t>
        </is>
      </c>
      <c r="C8" s="9" t="inlineStr">
        <is>
          <t>UAE</t>
        </is>
      </c>
      <c r="D8" s="10" t="n">
        <v>2</v>
      </c>
      <c r="E8" s="9" t="inlineStr">
        <is>
          <t>internal.orders@alghurair.com</t>
        </is>
      </c>
    </row>
    <row r="9">
      <c r="A9" s="14" t="inlineStr">
        <is>
          <t>S08</t>
        </is>
      </c>
      <c r="B9" s="15" t="inlineStr">
        <is>
          <t>EuroMetal Tech GmbH</t>
        </is>
      </c>
      <c r="C9" s="15" t="inlineStr">
        <is>
          <t>Germany</t>
        </is>
      </c>
      <c r="D9" s="16" t="n">
        <v>18</v>
      </c>
      <c r="E9" s="15" t="inlineStr">
        <is>
          <t>export@eurometal.de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18" customWidth="1" min="3" max="3"/>
    <col width="32" customWidth="1" min="4" max="4"/>
  </cols>
  <sheetData>
    <row r="1">
      <c r="A1" s="12" t="inlineStr">
        <is>
          <t>WarehouseID</t>
        </is>
      </c>
      <c r="B1" s="12" t="inlineStr">
        <is>
          <t>WarehouseName</t>
        </is>
      </c>
      <c r="C1" s="12" t="inlineStr">
        <is>
          <t>Location</t>
        </is>
      </c>
      <c r="D1" s="12" t="inlineStr">
        <is>
          <t>ManagerEmail</t>
        </is>
      </c>
    </row>
    <row r="2">
      <c r="A2" s="8" t="inlineStr">
        <is>
          <t>W01</t>
        </is>
      </c>
      <c r="B2" s="9" t="inlineStr">
        <is>
          <t>Jebel Ali Logistics Hub</t>
        </is>
      </c>
      <c r="C2" s="9" t="inlineStr">
        <is>
          <t>Dubai</t>
        </is>
      </c>
      <c r="D2" s="9" t="inlineStr">
        <is>
          <t>jebelali.mgr@alghurair.com</t>
        </is>
      </c>
    </row>
    <row r="3">
      <c r="A3" s="14" t="inlineStr">
        <is>
          <t>W02</t>
        </is>
      </c>
      <c r="B3" s="15" t="inlineStr">
        <is>
          <t>KIZAD Industrial Zone</t>
        </is>
      </c>
      <c r="C3" s="15" t="inlineStr">
        <is>
          <t>Abu Dhabi</t>
        </is>
      </c>
      <c r="D3" s="15" t="inlineStr">
        <is>
          <t>kizad.mgr@alghurair.com</t>
        </is>
      </c>
    </row>
    <row r="4">
      <c r="A4" s="8" t="inlineStr">
        <is>
          <t>W03</t>
        </is>
      </c>
      <c r="B4" s="9" t="inlineStr">
        <is>
          <t>Al Sajaa Facility</t>
        </is>
      </c>
      <c r="C4" s="9" t="inlineStr">
        <is>
          <t>Sharjah</t>
        </is>
      </c>
      <c r="D4" s="9" t="inlineStr">
        <is>
          <t>alsajaa.mgr@alghurair.com</t>
        </is>
      </c>
    </row>
    <row r="5">
      <c r="A5" s="14" t="inlineStr">
        <is>
          <t>W04</t>
        </is>
      </c>
      <c r="B5" s="15" t="inlineStr">
        <is>
          <t>Dubai South Free Zone Hub</t>
        </is>
      </c>
      <c r="C5" s="15" t="inlineStr">
        <is>
          <t>Dubai</t>
        </is>
      </c>
      <c r="D5" s="15" t="inlineStr">
        <is>
          <t>dubaisouth.mgr@alghurair.com</t>
        </is>
      </c>
    </row>
    <row r="6">
      <c r="A6" s="8" t="inlineStr">
        <is>
          <t>W05</t>
        </is>
      </c>
      <c r="B6" s="9" t="inlineStr">
        <is>
          <t>RAK Industrial Park</t>
        </is>
      </c>
      <c r="C6" s="9" t="inlineStr">
        <is>
          <t>Ras Al Khaimah</t>
        </is>
      </c>
      <c r="D6" s="9" t="inlineStr">
        <is>
          <t>rak.mgr@alghurair.com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18" customWidth="1" min="4" max="4"/>
    <col width="21" customWidth="1" min="5" max="5"/>
    <col width="49" customWidth="1" min="6" max="6"/>
    <col width="72" customWidth="1" min="7" max="7"/>
  </cols>
  <sheetData>
    <row r="1">
      <c r="A1" s="12" t="inlineStr">
        <is>
          <t>InventoryID</t>
        </is>
      </c>
      <c r="B1" s="12" t="inlineStr">
        <is>
          <t>ProductID</t>
        </is>
      </c>
      <c r="C1" s="12" t="inlineStr">
        <is>
          <t>WarehouseID</t>
        </is>
      </c>
      <c r="D1" s="12" t="inlineStr">
        <is>
          <t>QuantityOnHand</t>
        </is>
      </c>
      <c r="E1" s="12" t="inlineStr">
        <is>
          <t>LastStockTakeDate</t>
        </is>
      </c>
      <c r="F1" s="12" t="inlineStr">
        <is>
          <t>TotalValueAED</t>
        </is>
      </c>
      <c r="G1" s="12" t="inlineStr">
        <is>
          <t>StockStatus</t>
        </is>
      </c>
    </row>
    <row r="2">
      <c r="A2" s="8" t="inlineStr">
        <is>
          <t>INV-001</t>
        </is>
      </c>
      <c r="B2" s="8" t="inlineStr">
        <is>
          <t>P101</t>
        </is>
      </c>
      <c r="C2" s="8" t="inlineStr">
        <is>
          <t>W01</t>
        </is>
      </c>
      <c r="D2" s="10" t="n">
        <v>120</v>
      </c>
      <c r="E2" s="8" t="inlineStr">
        <is>
          <t>2026-07-01</t>
        </is>
      </c>
      <c r="F2" s="13">
        <f>D2*VLOOKUP(B2, Dim_Products!A:F, 6, FALSE)</f>
        <v/>
      </c>
      <c r="G2" s="11">
        <f>IF(D2&lt;VLOOKUP(B2, Dim_Products!A:E, 5, FALSE), "LOW STOCK", "OK")</f>
        <v/>
      </c>
    </row>
    <row r="3">
      <c r="A3" s="14" t="inlineStr">
        <is>
          <t>INV-002</t>
        </is>
      </c>
      <c r="B3" s="14" t="inlineStr">
        <is>
          <t>P101</t>
        </is>
      </c>
      <c r="C3" s="14" t="inlineStr">
        <is>
          <t>W02</t>
        </is>
      </c>
      <c r="D3" s="16" t="n">
        <v>210</v>
      </c>
      <c r="E3" s="14" t="inlineStr">
        <is>
          <t>2026-07-01</t>
        </is>
      </c>
      <c r="F3" s="17">
        <f>D3*VLOOKUP(B3, Dim_Products!A:F, 6, FALSE)</f>
        <v/>
      </c>
      <c r="G3" s="11">
        <f>IF(D3&lt;VLOOKUP(B3, Dim_Products!A:E, 5, FALSE), "LOW STOCK", "OK")</f>
        <v/>
      </c>
    </row>
    <row r="4">
      <c r="A4" s="8" t="inlineStr">
        <is>
          <t>INV-003</t>
        </is>
      </c>
      <c r="B4" s="8" t="inlineStr">
        <is>
          <t>P102</t>
        </is>
      </c>
      <c r="C4" s="8" t="inlineStr">
        <is>
          <t>W01</t>
        </is>
      </c>
      <c r="D4" s="10" t="n">
        <v>80</v>
      </c>
      <c r="E4" s="8" t="inlineStr">
        <is>
          <t>2026-07-01</t>
        </is>
      </c>
      <c r="F4" s="13">
        <f>D4*VLOOKUP(B4, Dim_Products!A:F, 6, FALSE)</f>
        <v/>
      </c>
      <c r="G4" s="11">
        <f>IF(D4&lt;VLOOKUP(B4, Dim_Products!A:E, 5, FALSE), "LOW STOCK", "OK")</f>
        <v/>
      </c>
    </row>
    <row r="5">
      <c r="A5" s="14" t="inlineStr">
        <is>
          <t>INV-004</t>
        </is>
      </c>
      <c r="B5" s="14" t="inlineStr">
        <is>
          <t>P102</t>
        </is>
      </c>
      <c r="C5" s="14" t="inlineStr">
        <is>
          <t>W03</t>
        </is>
      </c>
      <c r="D5" s="16" t="n">
        <v>300</v>
      </c>
      <c r="E5" s="14" t="inlineStr">
        <is>
          <t>2026-07-01</t>
        </is>
      </c>
      <c r="F5" s="17">
        <f>D5*VLOOKUP(B5, Dim_Products!A:F, 6, FALSE)</f>
        <v/>
      </c>
      <c r="G5" s="11">
        <f>IF(D5&lt;VLOOKUP(B5, Dim_Products!A:E, 5, FALSE), "LOW STOCK", "OK")</f>
        <v/>
      </c>
    </row>
    <row r="6">
      <c r="A6" s="8" t="inlineStr">
        <is>
          <t>INV-005</t>
        </is>
      </c>
      <c r="B6" s="8" t="inlineStr">
        <is>
          <t>P103</t>
        </is>
      </c>
      <c r="C6" s="8" t="inlineStr">
        <is>
          <t>W01</t>
        </is>
      </c>
      <c r="D6" s="10" t="n">
        <v>1200</v>
      </c>
      <c r="E6" s="8" t="inlineStr">
        <is>
          <t>2026-07-01</t>
        </is>
      </c>
      <c r="F6" s="13">
        <f>D6*VLOOKUP(B6, Dim_Products!A:F, 6, FALSE)</f>
        <v/>
      </c>
      <c r="G6" s="11">
        <f>IF(D6&lt;VLOOKUP(B6, Dim_Products!A:E, 5, FALSE), "LOW STOCK", "OK")</f>
        <v/>
      </c>
    </row>
    <row r="7">
      <c r="A7" s="14" t="inlineStr">
        <is>
          <t>INV-006</t>
        </is>
      </c>
      <c r="B7" s="14" t="inlineStr">
        <is>
          <t>P104</t>
        </is>
      </c>
      <c r="C7" s="14" t="inlineStr">
        <is>
          <t>W01</t>
        </is>
      </c>
      <c r="D7" s="16" t="n">
        <v>35</v>
      </c>
      <c r="E7" s="14" t="inlineStr">
        <is>
          <t>2026-07-01</t>
        </is>
      </c>
      <c r="F7" s="17">
        <f>D7*VLOOKUP(B7, Dim_Products!A:F, 6, FALSE)</f>
        <v/>
      </c>
      <c r="G7" s="11">
        <f>IF(D7&lt;VLOOKUP(B7, Dim_Products!A:E, 5, FALSE), "LOW STOCK", "OK")</f>
        <v/>
      </c>
    </row>
    <row r="8">
      <c r="A8" s="8" t="inlineStr">
        <is>
          <t>INV-007</t>
        </is>
      </c>
      <c r="B8" s="8" t="inlineStr">
        <is>
          <t>P105</t>
        </is>
      </c>
      <c r="C8" s="8" t="inlineStr">
        <is>
          <t>W02</t>
        </is>
      </c>
      <c r="D8" s="10" t="n">
        <v>95</v>
      </c>
      <c r="E8" s="8" t="inlineStr">
        <is>
          <t>2026-07-01</t>
        </is>
      </c>
      <c r="F8" s="13">
        <f>D8*VLOOKUP(B8, Dim_Products!A:F, 6, FALSE)</f>
        <v/>
      </c>
      <c r="G8" s="11">
        <f>IF(D8&lt;VLOOKUP(B8, Dim_Products!A:E, 5, FALSE), "LOW STOCK", "OK")</f>
        <v/>
      </c>
    </row>
    <row r="9">
      <c r="A9" s="14" t="inlineStr">
        <is>
          <t>INV-008</t>
        </is>
      </c>
      <c r="B9" s="14" t="inlineStr">
        <is>
          <t>P106</t>
        </is>
      </c>
      <c r="C9" s="14" t="inlineStr">
        <is>
          <t>W01</t>
        </is>
      </c>
      <c r="D9" s="16" t="n">
        <v>45</v>
      </c>
      <c r="E9" s="14" t="inlineStr">
        <is>
          <t>2026-07-01</t>
        </is>
      </c>
      <c r="F9" s="17">
        <f>D9*VLOOKUP(B9, Dim_Products!A:F, 6, FALSE)</f>
        <v/>
      </c>
      <c r="G9" s="11">
        <f>IF(D9&lt;VLOOKUP(B9, Dim_Products!A:E, 5, FALSE), "LOW STOCK", "OK")</f>
        <v/>
      </c>
    </row>
    <row r="10">
      <c r="A10" s="8" t="inlineStr">
        <is>
          <t>INV-009</t>
        </is>
      </c>
      <c r="B10" s="8" t="inlineStr">
        <is>
          <t>P107</t>
        </is>
      </c>
      <c r="C10" s="8" t="inlineStr">
        <is>
          <t>W03</t>
        </is>
      </c>
      <c r="D10" s="10" t="n">
        <v>650</v>
      </c>
      <c r="E10" s="8" t="inlineStr">
        <is>
          <t>2026-07-01</t>
        </is>
      </c>
      <c r="F10" s="13">
        <f>D10*VLOOKUP(B10, Dim_Products!A:F, 6, FALSE)</f>
        <v/>
      </c>
      <c r="G10" s="11">
        <f>IF(D10&lt;VLOOKUP(B10, Dim_Products!A:E, 5, FALSE), "LOW STOCK", "OK")</f>
        <v/>
      </c>
    </row>
    <row r="11">
      <c r="A11" s="14" t="inlineStr">
        <is>
          <t>INV-010</t>
        </is>
      </c>
      <c r="B11" s="14" t="inlineStr">
        <is>
          <t>P108</t>
        </is>
      </c>
      <c r="C11" s="14" t="inlineStr">
        <is>
          <t>W02</t>
        </is>
      </c>
      <c r="D11" s="16" t="n">
        <v>20</v>
      </c>
      <c r="E11" s="14" t="inlineStr">
        <is>
          <t>2026-07-01</t>
        </is>
      </c>
      <c r="F11" s="17">
        <f>D11*VLOOKUP(B11, Dim_Products!A:F, 6, FALSE)</f>
        <v/>
      </c>
      <c r="G11" s="11">
        <f>IF(D11&lt;VLOOKUP(B11, Dim_Products!A:E, 5, FALSE), "LOW STOCK", "OK")</f>
        <v/>
      </c>
    </row>
    <row r="12">
      <c r="A12" s="8" t="inlineStr">
        <is>
          <t>INV-011</t>
        </is>
      </c>
      <c r="B12" s="8" t="inlineStr">
        <is>
          <t>P109</t>
        </is>
      </c>
      <c r="C12" s="8" t="inlineStr">
        <is>
          <t>W01</t>
        </is>
      </c>
      <c r="D12" s="10" t="n">
        <v>310</v>
      </c>
      <c r="E12" s="8" t="inlineStr">
        <is>
          <t>2026-07-01</t>
        </is>
      </c>
      <c r="F12" s="13">
        <f>D12*VLOOKUP(B12, Dim_Products!A:F, 6, FALSE)</f>
        <v/>
      </c>
      <c r="G12" s="11">
        <f>IF(D12&lt;VLOOKUP(B12, Dim_Products!A:E, 5, FALSE), "LOW STOCK", "OK")</f>
        <v/>
      </c>
    </row>
    <row r="13">
      <c r="A13" s="14" t="inlineStr">
        <is>
          <t>INV-012</t>
        </is>
      </c>
      <c r="B13" s="14" t="inlineStr">
        <is>
          <t>P110</t>
        </is>
      </c>
      <c r="C13" s="14" t="inlineStr">
        <is>
          <t>W04</t>
        </is>
      </c>
      <c r="D13" s="16" t="n">
        <v>40</v>
      </c>
      <c r="E13" s="14" t="inlineStr">
        <is>
          <t>2026-07-01</t>
        </is>
      </c>
      <c r="F13" s="17">
        <f>D13*VLOOKUP(B13, Dim_Products!A:F, 6, FALSE)</f>
        <v/>
      </c>
      <c r="G13" s="11">
        <f>IF(D13&lt;VLOOKUP(B13, Dim_Products!A:E, 5, FALSE), "LOW STOCK", "OK")</f>
        <v/>
      </c>
    </row>
    <row r="14">
      <c r="A14" s="8" t="inlineStr">
        <is>
          <t>INV-013</t>
        </is>
      </c>
      <c r="B14" s="8" t="inlineStr">
        <is>
          <t>P111</t>
        </is>
      </c>
      <c r="C14" s="8" t="inlineStr">
        <is>
          <t>W01</t>
        </is>
      </c>
      <c r="D14" s="10" t="n">
        <v>180</v>
      </c>
      <c r="E14" s="8" t="inlineStr">
        <is>
          <t>2026-07-01</t>
        </is>
      </c>
      <c r="F14" s="13">
        <f>D14*VLOOKUP(B14, Dim_Products!A:F, 6, FALSE)</f>
        <v/>
      </c>
      <c r="G14" s="11">
        <f>IF(D14&lt;VLOOKUP(B14, Dim_Products!A:E, 5, FALSE), "LOW STOCK", "OK")</f>
        <v/>
      </c>
    </row>
    <row r="15">
      <c r="A15" s="14" t="inlineStr">
        <is>
          <t>INV-014</t>
        </is>
      </c>
      <c r="B15" s="14" t="inlineStr">
        <is>
          <t>P112</t>
        </is>
      </c>
      <c r="C15" s="14" t="inlineStr">
        <is>
          <t>W02</t>
        </is>
      </c>
      <c r="D15" s="16" t="n">
        <v>110</v>
      </c>
      <c r="E15" s="14" t="inlineStr">
        <is>
          <t>2026-07-01</t>
        </is>
      </c>
      <c r="F15" s="17">
        <f>D15*VLOOKUP(B15, Dim_Products!A:F, 6, FALSE)</f>
        <v/>
      </c>
      <c r="G15" s="11">
        <f>IF(D15&lt;VLOOKUP(B15, Dim_Products!A:E, 5, FALSE), "LOW STOCK", "OK")</f>
        <v/>
      </c>
    </row>
    <row r="16">
      <c r="A16" s="8" t="inlineStr">
        <is>
          <t>INV-015</t>
        </is>
      </c>
      <c r="B16" s="8" t="inlineStr">
        <is>
          <t>P113</t>
        </is>
      </c>
      <c r="C16" s="8" t="inlineStr">
        <is>
          <t>W05</t>
        </is>
      </c>
      <c r="D16" s="10" t="n">
        <v>90</v>
      </c>
      <c r="E16" s="8" t="inlineStr">
        <is>
          <t>2026-07-01</t>
        </is>
      </c>
      <c r="F16" s="13">
        <f>D16*VLOOKUP(B16, Dim_Products!A:F, 6, FALSE)</f>
        <v/>
      </c>
      <c r="G16" s="11">
        <f>IF(D16&lt;VLOOKUP(B16, Dim_Products!A:E, 5, FALSE), "LOW STOCK", "OK")</f>
        <v/>
      </c>
    </row>
    <row r="17">
      <c r="A17" s="14" t="inlineStr">
        <is>
          <t>INV-016</t>
        </is>
      </c>
      <c r="B17" s="14" t="inlineStr">
        <is>
          <t>P114</t>
        </is>
      </c>
      <c r="C17" s="14" t="inlineStr">
        <is>
          <t>W01</t>
        </is>
      </c>
      <c r="D17" s="16" t="n">
        <v>25</v>
      </c>
      <c r="E17" s="14" t="inlineStr">
        <is>
          <t>2026-07-01</t>
        </is>
      </c>
      <c r="F17" s="17">
        <f>D17*VLOOKUP(B17, Dim_Products!A:F, 6, FALSE)</f>
        <v/>
      </c>
      <c r="G17" s="11">
        <f>IF(D17&lt;VLOOKUP(B17, Dim_Products!A:E, 5, FALSE), "LOW STOCK", "OK")</f>
        <v/>
      </c>
    </row>
    <row r="18">
      <c r="A18" s="8" t="inlineStr">
        <is>
          <t>INV-017</t>
        </is>
      </c>
      <c r="B18" s="8" t="inlineStr">
        <is>
          <t>P115</t>
        </is>
      </c>
      <c r="C18" s="8" t="inlineStr">
        <is>
          <t>W04</t>
        </is>
      </c>
      <c r="D18" s="10" t="n">
        <v>420</v>
      </c>
      <c r="E18" s="8" t="inlineStr">
        <is>
          <t>2026-07-01</t>
        </is>
      </c>
      <c r="F18" s="13">
        <f>D18*VLOOKUP(B18, Dim_Products!A:F, 6, FALSE)</f>
        <v/>
      </c>
      <c r="G18" s="11">
        <f>IF(D18&lt;VLOOKUP(B18, Dim_Products!A:E, 5, FALSE), "LOW STOCK", "OK")</f>
        <v/>
      </c>
    </row>
    <row r="19">
      <c r="A19" s="14" t="inlineStr">
        <is>
          <t>INV-018</t>
        </is>
      </c>
      <c r="B19" s="14" t="inlineStr">
        <is>
          <t>P116</t>
        </is>
      </c>
      <c r="C19" s="14" t="inlineStr">
        <is>
          <t>W02</t>
        </is>
      </c>
      <c r="D19" s="16" t="n">
        <v>15</v>
      </c>
      <c r="E19" s="14" t="inlineStr">
        <is>
          <t>2026-07-01</t>
        </is>
      </c>
      <c r="F19" s="17">
        <f>D19*VLOOKUP(B19, Dim_Products!A:F, 6, FALSE)</f>
        <v/>
      </c>
      <c r="G19" s="11">
        <f>IF(D19&lt;VLOOKUP(B19, Dim_Products!A:E, 5, FALSE), "LOW STOCK", "OK")</f>
        <v/>
      </c>
    </row>
    <row r="20">
      <c r="A20" s="8" t="inlineStr">
        <is>
          <t>INV-019</t>
        </is>
      </c>
      <c r="B20" s="8" t="inlineStr">
        <is>
          <t>P117</t>
        </is>
      </c>
      <c r="C20" s="8" t="inlineStr">
        <is>
          <t>W03</t>
        </is>
      </c>
      <c r="D20" s="10" t="n">
        <v>140</v>
      </c>
      <c r="E20" s="8" t="inlineStr">
        <is>
          <t>2026-07-01</t>
        </is>
      </c>
      <c r="F20" s="13">
        <f>D20*VLOOKUP(B20, Dim_Products!A:F, 6, FALSE)</f>
        <v/>
      </c>
      <c r="G20" s="11">
        <f>IF(D20&lt;VLOOKUP(B20, Dim_Products!A:E, 5, FALSE), "LOW STOCK", "OK")</f>
        <v/>
      </c>
    </row>
    <row r="21">
      <c r="A21" s="14" t="inlineStr">
        <is>
          <t>INV-020</t>
        </is>
      </c>
      <c r="B21" s="14" t="inlineStr">
        <is>
          <t>P118</t>
        </is>
      </c>
      <c r="C21" s="14" t="inlineStr">
        <is>
          <t>W05</t>
        </is>
      </c>
      <c r="D21" s="16" t="n">
        <v>60</v>
      </c>
      <c r="E21" s="14" t="inlineStr">
        <is>
          <t>2026-07-01</t>
        </is>
      </c>
      <c r="F21" s="17">
        <f>D21*VLOOKUP(B21, Dim_Products!A:F, 6, FALSE)</f>
        <v/>
      </c>
      <c r="G21" s="11">
        <f>IF(D21&lt;VLOOKUP(B21, Dim_Products!A:E, 5, FALSE), "LOW STOCK", "OK")</f>
        <v/>
      </c>
    </row>
    <row r="22">
      <c r="A22" s="8" t="inlineStr">
        <is>
          <t>INV-021</t>
        </is>
      </c>
      <c r="B22" s="8" t="inlineStr">
        <is>
          <t>P119</t>
        </is>
      </c>
      <c r="C22" s="8" t="inlineStr">
        <is>
          <t>W01</t>
        </is>
      </c>
      <c r="D22" s="10" t="n">
        <v>220</v>
      </c>
      <c r="E22" s="8" t="inlineStr">
        <is>
          <t>2026-07-01</t>
        </is>
      </c>
      <c r="F22" s="13">
        <f>D22*VLOOKUP(B22, Dim_Products!A:F, 6, FALSE)</f>
        <v/>
      </c>
      <c r="G22" s="11">
        <f>IF(D22&lt;VLOOKUP(B22, Dim_Products!A:E, 5, FALSE), "LOW STOCK", "OK")</f>
        <v/>
      </c>
    </row>
    <row r="23">
      <c r="A23" s="14" t="inlineStr">
        <is>
          <t>INV-022</t>
        </is>
      </c>
      <c r="B23" s="14" t="inlineStr">
        <is>
          <t>P120</t>
        </is>
      </c>
      <c r="C23" s="14" t="inlineStr">
        <is>
          <t>W04</t>
        </is>
      </c>
      <c r="D23" s="16" t="n">
        <v>850</v>
      </c>
      <c r="E23" s="14" t="inlineStr">
        <is>
          <t>2026-07-01</t>
        </is>
      </c>
      <c r="F23" s="17">
        <f>D23*VLOOKUP(B23, Dim_Products!A:F, 6, FALSE)</f>
        <v/>
      </c>
      <c r="G23" s="11">
        <f>IF(D23&lt;VLOOKUP(B23, Dim_Products!A:E, 5, FALSE), "LOW STOCK", "OK")</f>
        <v/>
      </c>
    </row>
    <row r="24">
      <c r="A24" s="8" t="inlineStr">
        <is>
          <t>INV-023</t>
        </is>
      </c>
      <c r="B24" s="8" t="inlineStr">
        <is>
          <t>P101</t>
        </is>
      </c>
      <c r="C24" s="8" t="inlineStr">
        <is>
          <t>W04</t>
        </is>
      </c>
      <c r="D24" s="10" t="n">
        <v>90</v>
      </c>
      <c r="E24" s="8" t="inlineStr">
        <is>
          <t>2026-07-01</t>
        </is>
      </c>
      <c r="F24" s="13">
        <f>D24*VLOOKUP(B24, Dim_Products!A:F, 6, FALSE)</f>
        <v/>
      </c>
      <c r="G24" s="11">
        <f>IF(D24&lt;VLOOKUP(B24, Dim_Products!A:E, 5, FALSE), "LOW STOCK", "OK")</f>
        <v/>
      </c>
    </row>
    <row r="25">
      <c r="A25" s="14" t="inlineStr">
        <is>
          <t>INV-024</t>
        </is>
      </c>
      <c r="B25" s="14" t="inlineStr">
        <is>
          <t>P102</t>
        </is>
      </c>
      <c r="C25" s="14" t="inlineStr">
        <is>
          <t>W02</t>
        </is>
      </c>
      <c r="D25" s="16" t="n">
        <v>150</v>
      </c>
      <c r="E25" s="14" t="inlineStr">
        <is>
          <t>2026-07-01</t>
        </is>
      </c>
      <c r="F25" s="17">
        <f>D25*VLOOKUP(B25, Dim_Products!A:F, 6, FALSE)</f>
        <v/>
      </c>
      <c r="G25" s="11">
        <f>IF(D25&lt;VLOOKUP(B25, Dim_Products!A:E, 5, FALSE), "LOW STOCK", "OK")</f>
        <v/>
      </c>
    </row>
    <row r="26">
      <c r="A26" s="8" t="inlineStr">
        <is>
          <t>INV-025</t>
        </is>
      </c>
      <c r="B26" s="8" t="inlineStr">
        <is>
          <t>P103</t>
        </is>
      </c>
      <c r="C26" s="8" t="inlineStr">
        <is>
          <t>W03</t>
        </is>
      </c>
      <c r="D26" s="10" t="n">
        <v>350</v>
      </c>
      <c r="E26" s="8" t="inlineStr">
        <is>
          <t>2026-07-01</t>
        </is>
      </c>
      <c r="F26" s="13">
        <f>D26*VLOOKUP(B26, Dim_Products!A:F, 6, FALSE)</f>
        <v/>
      </c>
      <c r="G26" s="11">
        <f>IF(D26&lt;VLOOKUP(B26, Dim_Products!A:E, 5, FALSE), "LOW STOCK", "OK")</f>
        <v/>
      </c>
    </row>
    <row r="27">
      <c r="A27" s="14" t="inlineStr">
        <is>
          <t>INV-026</t>
        </is>
      </c>
      <c r="B27" s="14" t="inlineStr">
        <is>
          <t>P104</t>
        </is>
      </c>
      <c r="C27" s="14" t="inlineStr">
        <is>
          <t>W05</t>
        </is>
      </c>
      <c r="D27" s="16" t="n">
        <v>12</v>
      </c>
      <c r="E27" s="14" t="inlineStr">
        <is>
          <t>2026-07-01</t>
        </is>
      </c>
      <c r="F27" s="17">
        <f>D27*VLOOKUP(B27, Dim_Products!A:F, 6, FALSE)</f>
        <v/>
      </c>
      <c r="G27" s="11">
        <f>IF(D27&lt;VLOOKUP(B27, Dim_Products!A:E, 5, FALSE), "LOW STOCK", "OK")</f>
        <v/>
      </c>
    </row>
    <row r="28">
      <c r="A28" s="8" t="inlineStr">
        <is>
          <t>INV-027</t>
        </is>
      </c>
      <c r="B28" s="8" t="inlineStr">
        <is>
          <t>P105</t>
        </is>
      </c>
      <c r="C28" s="8" t="inlineStr">
        <is>
          <t>W01</t>
        </is>
      </c>
      <c r="D28" s="10" t="n">
        <v>65</v>
      </c>
      <c r="E28" s="8" t="inlineStr">
        <is>
          <t>2026-07-01</t>
        </is>
      </c>
      <c r="F28" s="13">
        <f>D28*VLOOKUP(B28, Dim_Products!A:F, 6, FALSE)</f>
        <v/>
      </c>
      <c r="G28" s="11">
        <f>IF(D28&lt;VLOOKUP(B28, Dim_Products!A:E, 5, FALSE), "LOW STOCK", "OK")</f>
        <v/>
      </c>
    </row>
    <row r="29">
      <c r="A29" s="14" t="inlineStr">
        <is>
          <t>INV-028</t>
        </is>
      </c>
      <c r="B29" s="14" t="inlineStr">
        <is>
          <t>P106</t>
        </is>
      </c>
      <c r="C29" s="14" t="inlineStr">
        <is>
          <t>W02</t>
        </is>
      </c>
      <c r="D29" s="16" t="n">
        <v>130</v>
      </c>
      <c r="E29" s="14" t="inlineStr">
        <is>
          <t>2026-07-01</t>
        </is>
      </c>
      <c r="F29" s="17">
        <f>D29*VLOOKUP(B29, Dim_Products!A:F, 6, FALSE)</f>
        <v/>
      </c>
      <c r="G29" s="11">
        <f>IF(D29&lt;VLOOKUP(B29, Dim_Products!A:E, 5, FALSE), "LOW STOCK", "OK")</f>
        <v/>
      </c>
    </row>
    <row r="30">
      <c r="A30" s="8" t="inlineStr">
        <is>
          <t>INV-029</t>
        </is>
      </c>
      <c r="B30" s="8" t="inlineStr">
        <is>
          <t>P108</t>
        </is>
      </c>
      <c r="C30" s="8" t="inlineStr">
        <is>
          <t>W01</t>
        </is>
      </c>
      <c r="D30" s="10" t="n">
        <v>55</v>
      </c>
      <c r="E30" s="8" t="inlineStr">
        <is>
          <t>2026-07-01</t>
        </is>
      </c>
      <c r="F30" s="13">
        <f>D30*VLOOKUP(B30, Dim_Products!A:F, 6, FALSE)</f>
        <v/>
      </c>
      <c r="G30" s="11">
        <f>IF(D30&lt;VLOOKUP(B30, Dim_Products!A:E, 5, FALSE), "LOW STOCK", "OK")</f>
        <v/>
      </c>
    </row>
    <row r="31">
      <c r="A31" s="14" t="inlineStr">
        <is>
          <t>INV-030</t>
        </is>
      </c>
      <c r="B31" s="14" t="inlineStr">
        <is>
          <t>P110</t>
        </is>
      </c>
      <c r="C31" s="14" t="inlineStr">
        <is>
          <t>W02</t>
        </is>
      </c>
      <c r="D31" s="16" t="n">
        <v>25</v>
      </c>
      <c r="E31" s="14" t="inlineStr">
        <is>
          <t>2026-07-01</t>
        </is>
      </c>
      <c r="F31" s="17">
        <f>D31*VLOOKUP(B31, Dim_Products!A:F, 6, FALSE)</f>
        <v/>
      </c>
      <c r="G31" s="11">
        <f>IF(D31&lt;VLOOKUP(B31, Dim_Products!A:E, 5, FALSE), "LOW STOCK", "OK")</f>
        <v/>
      </c>
    </row>
    <row r="32">
      <c r="A32" s="8" t="inlineStr">
        <is>
          <t>INV-031</t>
        </is>
      </c>
      <c r="B32" s="8" t="inlineStr">
        <is>
          <t>P112</t>
        </is>
      </c>
      <c r="C32" s="8" t="inlineStr">
        <is>
          <t>W04</t>
        </is>
      </c>
      <c r="D32" s="10" t="n">
        <v>80</v>
      </c>
      <c r="E32" s="8" t="inlineStr">
        <is>
          <t>2026-07-01</t>
        </is>
      </c>
      <c r="F32" s="13">
        <f>D32*VLOOKUP(B32, Dim_Products!A:F, 6, FALSE)</f>
        <v/>
      </c>
      <c r="G32" s="11">
        <f>IF(D32&lt;VLOOKUP(B32, Dim_Products!A:E, 5, FALSE), "LOW STOCK", "OK")</f>
        <v/>
      </c>
    </row>
    <row r="33">
      <c r="A33" s="14" t="inlineStr">
        <is>
          <t>INV-032</t>
        </is>
      </c>
      <c r="B33" s="14" t="inlineStr">
        <is>
          <t>P114</t>
        </is>
      </c>
      <c r="C33" s="14" t="inlineStr">
        <is>
          <t>W02</t>
        </is>
      </c>
      <c r="D33" s="16" t="n">
        <v>70</v>
      </c>
      <c r="E33" s="14" t="inlineStr">
        <is>
          <t>2026-07-01</t>
        </is>
      </c>
      <c r="F33" s="17">
        <f>D33*VLOOKUP(B33, Dim_Products!A:F, 6, FALSE)</f>
        <v/>
      </c>
      <c r="G33" s="11">
        <f>IF(D33&lt;VLOOKUP(B33, Dim_Products!A:E, 5, FALSE), "LOW STOCK", "OK")</f>
        <v/>
      </c>
    </row>
    <row r="34">
      <c r="A34" s="8" t="inlineStr">
        <is>
          <t>INV-033</t>
        </is>
      </c>
      <c r="B34" s="8" t="inlineStr">
        <is>
          <t>P116</t>
        </is>
      </c>
      <c r="C34" s="8" t="inlineStr">
        <is>
          <t>W05</t>
        </is>
      </c>
      <c r="D34" s="10" t="n">
        <v>50</v>
      </c>
      <c r="E34" s="8" t="inlineStr">
        <is>
          <t>2026-07-01</t>
        </is>
      </c>
      <c r="F34" s="13">
        <f>D34*VLOOKUP(B34, Dim_Products!A:F, 6, FALSE)</f>
        <v/>
      </c>
      <c r="G34" s="11">
        <f>IF(D34&lt;VLOOKUP(B34, Dim_Products!A:E, 5, FALSE), "LOW STOCK", "OK")</f>
        <v/>
      </c>
    </row>
    <row r="35">
      <c r="A35" s="14" t="inlineStr">
        <is>
          <t>INV-034</t>
        </is>
      </c>
      <c r="B35" s="14" t="inlineStr">
        <is>
          <t>P118</t>
        </is>
      </c>
      <c r="C35" s="14" t="inlineStr">
        <is>
          <t>W01</t>
        </is>
      </c>
      <c r="D35" s="16" t="n">
        <v>110</v>
      </c>
      <c r="E35" s="14" t="inlineStr">
        <is>
          <t>2026-07-01</t>
        </is>
      </c>
      <c r="F35" s="17">
        <f>D35*VLOOKUP(B35, Dim_Products!A:F, 6, FALSE)</f>
        <v/>
      </c>
      <c r="G35" s="11">
        <f>IF(D35&lt;VLOOKUP(B35, Dim_Products!A:E, 5, FALSE), "LOW STOCK", "OK")</f>
        <v/>
      </c>
    </row>
    <row r="36">
      <c r="A36" s="8" t="inlineStr">
        <is>
          <t>INV-035</t>
        </is>
      </c>
      <c r="B36" s="8" t="inlineStr">
        <is>
          <t>P119</t>
        </is>
      </c>
      <c r="C36" s="8" t="inlineStr">
        <is>
          <t>W03</t>
        </is>
      </c>
      <c r="D36" s="10" t="n">
        <v>95</v>
      </c>
      <c r="E36" s="8" t="inlineStr">
        <is>
          <t>2026-07-01</t>
        </is>
      </c>
      <c r="F36" s="13">
        <f>D36*VLOOKUP(B36, Dim_Products!A:F, 6, FALSE)</f>
        <v/>
      </c>
      <c r="G36" s="11">
        <f>IF(D36&lt;VLOOKUP(B36, Dim_Products!A:E, 5, FALSE), "LOW STOCK", "OK")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5" customWidth="1" min="4" max="4"/>
    <col width="14" customWidth="1" min="5" max="5"/>
    <col width="24" customWidth="1" min="6" max="6"/>
    <col width="22" customWidth="1" min="7" max="7"/>
    <col width="19" customWidth="1" min="8" max="8"/>
    <col width="15" customWidth="1" min="9" max="9"/>
    <col width="16" customWidth="1" min="10" max="10"/>
    <col width="13" customWidth="1" min="11" max="11"/>
    <col width="16" customWidth="1" min="12" max="12"/>
    <col width="39" customWidth="1" min="13" max="13"/>
  </cols>
  <sheetData>
    <row r="1">
      <c r="A1" s="12" t="inlineStr">
        <is>
          <t>PO_ID</t>
        </is>
      </c>
      <c r="B1" s="12" t="inlineStr">
        <is>
          <t>ProductID</t>
        </is>
      </c>
      <c r="C1" s="12" t="inlineStr">
        <is>
          <t>SupplierID</t>
        </is>
      </c>
      <c r="D1" s="12" t="inlineStr">
        <is>
          <t>WarehouseID</t>
        </is>
      </c>
      <c r="E1" s="12" t="inlineStr">
        <is>
          <t>OrderDate</t>
        </is>
      </c>
      <c r="F1" s="12" t="inlineStr">
        <is>
          <t>ExpectedDeliveryDate</t>
        </is>
      </c>
      <c r="G1" s="12" t="inlineStr">
        <is>
          <t>ActualDeliveryDate</t>
        </is>
      </c>
      <c r="H1" s="12" t="inlineStr">
        <is>
          <t>QuantityOrdered</t>
        </is>
      </c>
      <c r="I1" s="12" t="inlineStr">
        <is>
          <t>UnitCostAED</t>
        </is>
      </c>
      <c r="J1" s="12" t="inlineStr">
        <is>
          <t>TotalCostAED</t>
        </is>
      </c>
      <c r="K1" s="12" t="inlineStr">
        <is>
          <t>POStatus</t>
        </is>
      </c>
      <c r="L1" s="12" t="inlineStr">
        <is>
          <t>LeadTimeDays</t>
        </is>
      </c>
      <c r="M1" s="12" t="inlineStr">
        <is>
          <t>OnTimeStatus</t>
        </is>
      </c>
    </row>
    <row r="2">
      <c r="A2" s="8" t="inlineStr">
        <is>
          <t>PO-1001</t>
        </is>
      </c>
      <c r="B2" s="8" t="inlineStr">
        <is>
          <t>P101</t>
        </is>
      </c>
      <c r="C2" s="8" t="inlineStr">
        <is>
          <t>S03</t>
        </is>
      </c>
      <c r="D2" s="8" t="inlineStr">
        <is>
          <t>W01</t>
        </is>
      </c>
      <c r="E2" s="8" t="inlineStr">
        <is>
          <t>2026-06-01</t>
        </is>
      </c>
      <c r="F2" s="8" t="inlineStr">
        <is>
          <t>2026-06-15</t>
        </is>
      </c>
      <c r="G2" s="8" t="inlineStr">
        <is>
          <t>2026-06-18</t>
        </is>
      </c>
      <c r="H2" s="10" t="n">
        <v>200</v>
      </c>
      <c r="I2" s="13" t="n">
        <v>118</v>
      </c>
      <c r="J2" s="13">
        <f>H2*I2</f>
        <v/>
      </c>
      <c r="K2" s="8" t="inlineStr">
        <is>
          <t>Completed</t>
        </is>
      </c>
      <c r="L2" s="10">
        <f>G2-E2</f>
        <v/>
      </c>
      <c r="M2" s="11">
        <f>IF(G2&lt;=F2, "ON-TIME", "DELAYED")</f>
        <v/>
      </c>
    </row>
    <row r="3">
      <c r="A3" s="14" t="inlineStr">
        <is>
          <t>PO-1002</t>
        </is>
      </c>
      <c r="B3" s="14" t="inlineStr">
        <is>
          <t>P102</t>
        </is>
      </c>
      <c r="C3" s="14" t="inlineStr">
        <is>
          <t>S01</t>
        </is>
      </c>
      <c r="D3" s="14" t="inlineStr">
        <is>
          <t>W01</t>
        </is>
      </c>
      <c r="E3" s="14" t="inlineStr">
        <is>
          <t>2026-06-05</t>
        </is>
      </c>
      <c r="F3" s="14" t="inlineStr">
        <is>
          <t>2026-06-10</t>
        </is>
      </c>
      <c r="G3" s="14" t="inlineStr">
        <is>
          <t>2026-06-09</t>
        </is>
      </c>
      <c r="H3" s="16" t="n">
        <v>300</v>
      </c>
      <c r="I3" s="17" t="n">
        <v>82</v>
      </c>
      <c r="J3" s="17">
        <f>H3*I3</f>
        <v/>
      </c>
      <c r="K3" s="14" t="inlineStr">
        <is>
          <t>Completed</t>
        </is>
      </c>
      <c r="L3" s="16">
        <f>G3-E3</f>
        <v/>
      </c>
      <c r="M3" s="18">
        <f>IF(G3&lt;=F3, "ON-TIME", "DELAYED")</f>
        <v/>
      </c>
    </row>
    <row r="4">
      <c r="A4" s="8" t="inlineStr">
        <is>
          <t>PO-1003</t>
        </is>
      </c>
      <c r="B4" s="8" t="inlineStr">
        <is>
          <t>P103</t>
        </is>
      </c>
      <c r="C4" s="8" t="inlineStr">
        <is>
          <t>S02</t>
        </is>
      </c>
      <c r="D4" s="8" t="inlineStr">
        <is>
          <t>W01</t>
        </is>
      </c>
      <c r="E4" s="8" t="inlineStr">
        <is>
          <t>2026-06-10</t>
        </is>
      </c>
      <c r="F4" s="8" t="inlineStr">
        <is>
          <t>2026-06-13</t>
        </is>
      </c>
      <c r="G4" s="8" t="inlineStr">
        <is>
          <t>2026-06-13</t>
        </is>
      </c>
      <c r="H4" s="10" t="n">
        <v>1000</v>
      </c>
      <c r="I4" s="13" t="n">
        <v>5.2</v>
      </c>
      <c r="J4" s="13">
        <f>H4*I4</f>
        <v/>
      </c>
      <c r="K4" s="8" t="inlineStr">
        <is>
          <t>Completed</t>
        </is>
      </c>
      <c r="L4" s="10">
        <f>G4-E4</f>
        <v/>
      </c>
      <c r="M4" s="11">
        <f>IF(G4&lt;=F4, "ON-TIME", "DELAYED")</f>
        <v/>
      </c>
    </row>
    <row r="5">
      <c r="A5" s="14" t="inlineStr">
        <is>
          <t>PO-1004</t>
        </is>
      </c>
      <c r="B5" s="14" t="inlineStr">
        <is>
          <t>P104</t>
        </is>
      </c>
      <c r="C5" s="14" t="inlineStr">
        <is>
          <t>S04</t>
        </is>
      </c>
      <c r="D5" s="14" t="inlineStr">
        <is>
          <t>W02</t>
        </is>
      </c>
      <c r="E5" s="14" t="inlineStr">
        <is>
          <t>2026-06-15</t>
        </is>
      </c>
      <c r="F5" s="14" t="inlineStr">
        <is>
          <t>2026-06-19</t>
        </is>
      </c>
      <c r="G5" s="14" t="inlineStr">
        <is>
          <t>2026-06-22</t>
        </is>
      </c>
      <c r="H5" s="16" t="n">
        <v>50</v>
      </c>
      <c r="I5" s="17" t="n">
        <v>210</v>
      </c>
      <c r="J5" s="17">
        <f>H5*I5</f>
        <v/>
      </c>
      <c r="K5" s="14" t="inlineStr">
        <is>
          <t>Completed</t>
        </is>
      </c>
      <c r="L5" s="16">
        <f>G5-E5</f>
        <v/>
      </c>
      <c r="M5" s="18">
        <f>IF(G5&lt;=F5, "ON-TIME", "DELAYED")</f>
        <v/>
      </c>
    </row>
    <row r="6">
      <c r="A6" s="8" t="inlineStr">
        <is>
          <t>PO-1005</t>
        </is>
      </c>
      <c r="B6" s="8" t="inlineStr">
        <is>
          <t>P105</t>
        </is>
      </c>
      <c r="C6" s="8" t="inlineStr">
        <is>
          <t>S04</t>
        </is>
      </c>
      <c r="D6" s="8" t="inlineStr">
        <is>
          <t>W02</t>
        </is>
      </c>
      <c r="E6" s="8" t="inlineStr">
        <is>
          <t>2026-06-20</t>
        </is>
      </c>
      <c r="F6" s="8" t="inlineStr">
        <is>
          <t>2026-06-24</t>
        </is>
      </c>
      <c r="G6" s="8" t="inlineStr">
        <is>
          <t>2026-06-24</t>
        </is>
      </c>
      <c r="H6" s="10" t="n">
        <v>100</v>
      </c>
      <c r="I6" s="13" t="n">
        <v>335</v>
      </c>
      <c r="J6" s="13">
        <f>H6*I6</f>
        <v/>
      </c>
      <c r="K6" s="8" t="inlineStr">
        <is>
          <t>Completed</t>
        </is>
      </c>
      <c r="L6" s="10">
        <f>G6-E6</f>
        <v/>
      </c>
      <c r="M6" s="11">
        <f>IF(G6&lt;=F6, "ON-TIME", "DELAYED")</f>
        <v/>
      </c>
    </row>
    <row r="7">
      <c r="A7" s="14" t="inlineStr">
        <is>
          <t>PO-1006</t>
        </is>
      </c>
      <c r="B7" s="14" t="inlineStr">
        <is>
          <t>P101</t>
        </is>
      </c>
      <c r="C7" s="14" t="inlineStr">
        <is>
          <t>S03</t>
        </is>
      </c>
      <c r="D7" s="14" t="inlineStr">
        <is>
          <t>W02</t>
        </is>
      </c>
      <c r="E7" s="14" t="inlineStr">
        <is>
          <t>2026-07-01</t>
        </is>
      </c>
      <c r="F7" s="14" t="inlineStr">
        <is>
          <t>2026-07-15</t>
        </is>
      </c>
      <c r="G7" s="14" t="inlineStr">
        <is>
          <t>2026-07-14</t>
        </is>
      </c>
      <c r="H7" s="16" t="n">
        <v>150</v>
      </c>
      <c r="I7" s="17" t="n">
        <v>118</v>
      </c>
      <c r="J7" s="17">
        <f>H7*I7</f>
        <v/>
      </c>
      <c r="K7" s="14" t="inlineStr">
        <is>
          <t>Completed</t>
        </is>
      </c>
      <c r="L7" s="16">
        <f>G7-E7</f>
        <v/>
      </c>
      <c r="M7" s="18">
        <f>IF(G7&lt;=F7, "ON-TIME", "DELAYED")</f>
        <v/>
      </c>
    </row>
    <row r="8">
      <c r="A8" s="8" t="inlineStr">
        <is>
          <t>PO-1007</t>
        </is>
      </c>
      <c r="B8" s="8" t="inlineStr">
        <is>
          <t>P106</t>
        </is>
      </c>
      <c r="C8" s="8" t="inlineStr">
        <is>
          <t>S03</t>
        </is>
      </c>
      <c r="D8" s="8" t="inlineStr">
        <is>
          <t>W01</t>
        </is>
      </c>
      <c r="E8" s="8" t="inlineStr">
        <is>
          <t>2026-07-05</t>
        </is>
      </c>
      <c r="F8" s="8" t="inlineStr">
        <is>
          <t>2026-07-19</t>
        </is>
      </c>
      <c r="G8" s="8" t="inlineStr">
        <is>
          <t>2026-07-21</t>
        </is>
      </c>
      <c r="H8" s="10" t="n">
        <v>100</v>
      </c>
      <c r="I8" s="13" t="n">
        <v>190</v>
      </c>
      <c r="J8" s="13">
        <f>H8*I8</f>
        <v/>
      </c>
      <c r="K8" s="8" t="inlineStr">
        <is>
          <t>Completed</t>
        </is>
      </c>
      <c r="L8" s="10">
        <f>G8-E8</f>
        <v/>
      </c>
      <c r="M8" s="11">
        <f>IF(G8&lt;=F8, "ON-TIME", "DELAYED")</f>
        <v/>
      </c>
    </row>
    <row r="9">
      <c r="A9" s="14" t="inlineStr">
        <is>
          <t>PO-1008</t>
        </is>
      </c>
      <c r="B9" s="14" t="inlineStr">
        <is>
          <t>P108</t>
        </is>
      </c>
      <c r="C9" s="14" t="inlineStr">
        <is>
          <t>S05</t>
        </is>
      </c>
      <c r="D9" s="14" t="inlineStr">
        <is>
          <t>W02</t>
        </is>
      </c>
      <c r="E9" s="14" t="inlineStr">
        <is>
          <t>2026-07-10</t>
        </is>
      </c>
      <c r="F9" s="14" t="inlineStr">
        <is>
          <t>2026-07-17</t>
        </is>
      </c>
      <c r="G9" s="14" t="inlineStr">
        <is>
          <t>2026-07-16</t>
        </is>
      </c>
      <c r="H9" s="16" t="n">
        <v>30</v>
      </c>
      <c r="I9" s="17" t="n">
        <v>440</v>
      </c>
      <c r="J9" s="17">
        <f>H9*I9</f>
        <v/>
      </c>
      <c r="K9" s="14" t="inlineStr">
        <is>
          <t>Completed</t>
        </is>
      </c>
      <c r="L9" s="16">
        <f>G9-E9</f>
        <v/>
      </c>
      <c r="M9" s="18">
        <f>IF(G9&lt;=F9, "ON-TIME", "DELAYED")</f>
        <v/>
      </c>
    </row>
    <row r="10">
      <c r="A10" s="8" t="inlineStr">
        <is>
          <t>PO-1009</t>
        </is>
      </c>
      <c r="B10" s="8" t="inlineStr">
        <is>
          <t>P107</t>
        </is>
      </c>
      <c r="C10" s="8" t="inlineStr">
        <is>
          <t>S04</t>
        </is>
      </c>
      <c r="D10" s="8" t="inlineStr">
        <is>
          <t>W03</t>
        </is>
      </c>
      <c r="E10" s="8" t="inlineStr">
        <is>
          <t>2026-07-12</t>
        </is>
      </c>
      <c r="F10" s="8" t="inlineStr">
        <is>
          <t>2026-07-16</t>
        </is>
      </c>
      <c r="G10" s="8" t="inlineStr">
        <is>
          <t>2026-07-16</t>
        </is>
      </c>
      <c r="H10" s="10" t="n">
        <v>500</v>
      </c>
      <c r="I10" s="13" t="n">
        <v>14.5</v>
      </c>
      <c r="J10" s="13">
        <f>H10*I10</f>
        <v/>
      </c>
      <c r="K10" s="8" t="inlineStr">
        <is>
          <t>Completed</t>
        </is>
      </c>
      <c r="L10" s="10">
        <f>G10-E10</f>
        <v/>
      </c>
      <c r="M10" s="11">
        <f>IF(G10&lt;=F10, "ON-TIME", "DELAYED")</f>
        <v/>
      </c>
    </row>
    <row r="11">
      <c r="A11" s="14" t="inlineStr">
        <is>
          <t>PO-1010</t>
        </is>
      </c>
      <c r="B11" s="14" t="inlineStr">
        <is>
          <t>P102</t>
        </is>
      </c>
      <c r="C11" s="14" t="inlineStr">
        <is>
          <t>S01</t>
        </is>
      </c>
      <c r="D11" s="14" t="inlineStr">
        <is>
          <t>W03</t>
        </is>
      </c>
      <c r="E11" s="14" t="inlineStr">
        <is>
          <t>2026-07-20</t>
        </is>
      </c>
      <c r="F11" s="14" t="inlineStr">
        <is>
          <t>2026-07-25</t>
        </is>
      </c>
      <c r="G11" s="14" t="inlineStr">
        <is>
          <t>2026-07-27</t>
        </is>
      </c>
      <c r="H11" s="16" t="n">
        <v>200</v>
      </c>
      <c r="I11" s="17" t="n">
        <v>84</v>
      </c>
      <c r="J11" s="17">
        <f>H11*I11</f>
        <v/>
      </c>
      <c r="K11" s="14" t="inlineStr">
        <is>
          <t>Completed</t>
        </is>
      </c>
      <c r="L11" s="16">
        <f>G11-E11</f>
        <v/>
      </c>
      <c r="M11" s="18">
        <f>IF(G11&lt;=F11, "ON-TIME", "DELAYED")</f>
        <v/>
      </c>
    </row>
    <row r="12">
      <c r="A12" s="8" t="inlineStr">
        <is>
          <t>PO-1011</t>
        </is>
      </c>
      <c r="B12" s="8" t="inlineStr">
        <is>
          <t>P110</t>
        </is>
      </c>
      <c r="C12" s="8" t="inlineStr">
        <is>
          <t>S06</t>
        </is>
      </c>
      <c r="D12" s="8" t="inlineStr">
        <is>
          <t>W04</t>
        </is>
      </c>
      <c r="E12" s="8" t="inlineStr">
        <is>
          <t>2026-07-22</t>
        </is>
      </c>
      <c r="F12" s="8" t="inlineStr">
        <is>
          <t>2026-07-27</t>
        </is>
      </c>
      <c r="G12" s="8" t="inlineStr">
        <is>
          <t>2026-07-26</t>
        </is>
      </c>
      <c r="H12" s="10" t="n">
        <v>80</v>
      </c>
      <c r="I12" s="13" t="n">
        <v>275</v>
      </c>
      <c r="J12" s="13">
        <f>H12*I12</f>
        <v/>
      </c>
      <c r="K12" s="8" t="inlineStr">
        <is>
          <t>Completed</t>
        </is>
      </c>
      <c r="L12" s="10">
        <f>G12-E12</f>
        <v/>
      </c>
      <c r="M12" s="11">
        <f>IF(G12&lt;=F12, "ON-TIME", "DELAYED")</f>
        <v/>
      </c>
    </row>
    <row r="13">
      <c r="A13" s="14" t="inlineStr">
        <is>
          <t>PO-1012</t>
        </is>
      </c>
      <c r="B13" s="14" t="inlineStr">
        <is>
          <t>P111</t>
        </is>
      </c>
      <c r="C13" s="14" t="inlineStr">
        <is>
          <t>S07</t>
        </is>
      </c>
      <c r="D13" s="14" t="inlineStr">
        <is>
          <t>W01</t>
        </is>
      </c>
      <c r="E13" s="14" t="inlineStr">
        <is>
          <t>2026-07-23</t>
        </is>
      </c>
      <c r="F13" s="14" t="inlineStr">
        <is>
          <t>2026-07-25</t>
        </is>
      </c>
      <c r="G13" s="14" t="inlineStr">
        <is>
          <t>2026-07-25</t>
        </is>
      </c>
      <c r="H13" s="16" t="n">
        <v>300</v>
      </c>
      <c r="I13" s="17" t="n">
        <v>40</v>
      </c>
      <c r="J13" s="17">
        <f>H13*I13</f>
        <v/>
      </c>
      <c r="K13" s="14" t="inlineStr">
        <is>
          <t>Completed</t>
        </is>
      </c>
      <c r="L13" s="16">
        <f>G13-E13</f>
        <v/>
      </c>
      <c r="M13" s="18">
        <f>IF(G13&lt;=F13, "ON-TIME", "DELAYED")</f>
        <v/>
      </c>
    </row>
    <row r="14">
      <c r="A14" s="8" t="inlineStr">
        <is>
          <t>PO-1013</t>
        </is>
      </c>
      <c r="B14" s="8" t="inlineStr">
        <is>
          <t>P112</t>
        </is>
      </c>
      <c r="C14" s="8" t="inlineStr">
        <is>
          <t>S08</t>
        </is>
      </c>
      <c r="D14" s="8" t="inlineStr">
        <is>
          <t>W02</t>
        </is>
      </c>
      <c r="E14" s="8" t="inlineStr">
        <is>
          <t>2026-07-24</t>
        </is>
      </c>
      <c r="F14" s="8" t="inlineStr">
        <is>
          <t>2026-08-11</t>
        </is>
      </c>
      <c r="G14" s="8" t="inlineStr">
        <is>
          <t>2026-08-14</t>
        </is>
      </c>
      <c r="H14" s="10" t="n">
        <v>150</v>
      </c>
      <c r="I14" s="13" t="n">
        <v>305</v>
      </c>
      <c r="J14" s="13">
        <f>H14*I14</f>
        <v/>
      </c>
      <c r="K14" s="8" t="inlineStr">
        <is>
          <t>Completed</t>
        </is>
      </c>
      <c r="L14" s="10">
        <f>G14-E14</f>
        <v/>
      </c>
      <c r="M14" s="11">
        <f>IF(G14&lt;=F14, "ON-TIME", "DELAYED")</f>
        <v/>
      </c>
    </row>
    <row r="15">
      <c r="A15" s="14" t="inlineStr">
        <is>
          <t>PO-1014</t>
        </is>
      </c>
      <c r="B15" s="14" t="inlineStr">
        <is>
          <t>P114</t>
        </is>
      </c>
      <c r="C15" s="14" t="inlineStr">
        <is>
          <t>S03</t>
        </is>
      </c>
      <c r="D15" s="14" t="inlineStr">
        <is>
          <t>W01</t>
        </is>
      </c>
      <c r="E15" s="14" t="inlineStr">
        <is>
          <t>2026-07-25</t>
        </is>
      </c>
      <c r="F15" s="14" t="inlineStr">
        <is>
          <t>2026-08-08</t>
        </is>
      </c>
      <c r="G15" s="14" t="inlineStr">
        <is>
          <t>2026-08-07</t>
        </is>
      </c>
      <c r="H15" s="16" t="n">
        <v>50</v>
      </c>
      <c r="I15" s="17" t="n">
        <v>840</v>
      </c>
      <c r="J15" s="17">
        <f>H15*I15</f>
        <v/>
      </c>
      <c r="K15" s="14" t="inlineStr">
        <is>
          <t>Completed</t>
        </is>
      </c>
      <c r="L15" s="16">
        <f>G15-E15</f>
        <v/>
      </c>
      <c r="M15" s="18">
        <f>IF(G15&lt;=F15, "ON-TIME", "DELAYED")</f>
        <v/>
      </c>
    </row>
    <row r="16">
      <c r="A16" s="8" t="inlineStr">
        <is>
          <t>PO-1015</t>
        </is>
      </c>
      <c r="B16" s="8" t="inlineStr">
        <is>
          <t>P115</t>
        </is>
      </c>
      <c r="C16" s="8" t="inlineStr">
        <is>
          <t>S02</t>
        </is>
      </c>
      <c r="D16" s="8" t="inlineStr">
        <is>
          <t>W04</t>
        </is>
      </c>
      <c r="E16" s="8" t="inlineStr">
        <is>
          <t>2026-07-26</t>
        </is>
      </c>
      <c r="F16" s="8" t="inlineStr">
        <is>
          <t>2026-07-29</t>
        </is>
      </c>
      <c r="G16" s="8" t="inlineStr">
        <is>
          <t>2026-07-29</t>
        </is>
      </c>
      <c r="H16" s="10" t="n">
        <v>400</v>
      </c>
      <c r="I16" s="13" t="n">
        <v>62</v>
      </c>
      <c r="J16" s="13">
        <f>H16*I16</f>
        <v/>
      </c>
      <c r="K16" s="8" t="inlineStr">
        <is>
          <t>Completed</t>
        </is>
      </c>
      <c r="L16" s="10">
        <f>G16-E16</f>
        <v/>
      </c>
      <c r="M16" s="11">
        <f>IF(G16&lt;=F16, "ON-TIME", "DELAYED")</f>
        <v/>
      </c>
    </row>
    <row r="17">
      <c r="A17" s="14" t="inlineStr">
        <is>
          <t>PO-1016</t>
        </is>
      </c>
      <c r="B17" s="14" t="inlineStr">
        <is>
          <t>P116</t>
        </is>
      </c>
      <c r="C17" s="14" t="inlineStr">
        <is>
          <t>S06</t>
        </is>
      </c>
      <c r="D17" s="14" t="inlineStr">
        <is>
          <t>W05</t>
        </is>
      </c>
      <c r="E17" s="14" t="inlineStr">
        <is>
          <t>2026-07-26</t>
        </is>
      </c>
      <c r="F17" s="14" t="inlineStr">
        <is>
          <t>2026-07-31</t>
        </is>
      </c>
      <c r="G17" s="14" t="inlineStr">
        <is>
          <t>2026-08-03</t>
        </is>
      </c>
      <c r="H17" s="16" t="n">
        <v>60</v>
      </c>
      <c r="I17" s="17" t="n">
        <v>410</v>
      </c>
      <c r="J17" s="17">
        <f>H17*I17</f>
        <v/>
      </c>
      <c r="K17" s="14" t="inlineStr">
        <is>
          <t>Completed</t>
        </is>
      </c>
      <c r="L17" s="16">
        <f>G17-E17</f>
        <v/>
      </c>
      <c r="M17" s="18">
        <f>IF(G17&lt;=F17, "ON-TIME", "DELAYED")</f>
        <v/>
      </c>
    </row>
    <row r="18">
      <c r="A18" s="8" t="inlineStr">
        <is>
          <t>PO-1017</t>
        </is>
      </c>
      <c r="B18" s="8" t="inlineStr">
        <is>
          <t>P118</t>
        </is>
      </c>
      <c r="C18" s="8" t="inlineStr">
        <is>
          <t>S04</t>
        </is>
      </c>
      <c r="D18" s="8" t="inlineStr">
        <is>
          <t>W05</t>
        </is>
      </c>
      <c r="E18" s="8" t="inlineStr">
        <is>
          <t>2026-07-27</t>
        </is>
      </c>
      <c r="F18" s="8" t="inlineStr">
        <is>
          <t>2026-07-31</t>
        </is>
      </c>
      <c r="G18" s="8" t="inlineStr">
        <is>
          <t>2026-07-31</t>
        </is>
      </c>
      <c r="H18" s="10" t="n">
        <v>100</v>
      </c>
      <c r="I18" s="13" t="n">
        <v>120</v>
      </c>
      <c r="J18" s="13">
        <f>H18*I18</f>
        <v/>
      </c>
      <c r="K18" s="8" t="inlineStr">
        <is>
          <t>Completed</t>
        </is>
      </c>
      <c r="L18" s="10">
        <f>G18-E18</f>
        <v/>
      </c>
      <c r="M18" s="11">
        <f>IF(G18&lt;=F18, "ON-TIME", "DELAYED")</f>
        <v/>
      </c>
    </row>
    <row r="19">
      <c r="A19" s="14" t="inlineStr">
        <is>
          <t>PO-1018</t>
        </is>
      </c>
      <c r="B19" s="14" t="inlineStr">
        <is>
          <t>P119</t>
        </is>
      </c>
      <c r="C19" s="14" t="inlineStr">
        <is>
          <t>S01</t>
        </is>
      </c>
      <c r="D19" s="14" t="inlineStr">
        <is>
          <t>W01</t>
        </is>
      </c>
      <c r="E19" s="14" t="inlineStr">
        <is>
          <t>2026-07-27</t>
        </is>
      </c>
      <c r="F19" s="14" t="inlineStr">
        <is>
          <t>2026-08-01</t>
        </is>
      </c>
      <c r="G19" s="14" t="inlineStr">
        <is>
          <t>2026-08-01</t>
        </is>
      </c>
      <c r="H19" s="16" t="n">
        <v>250</v>
      </c>
      <c r="I19" s="17" t="n">
        <v>135</v>
      </c>
      <c r="J19" s="17">
        <f>H19*I19</f>
        <v/>
      </c>
      <c r="K19" s="14" t="inlineStr">
        <is>
          <t>Completed</t>
        </is>
      </c>
      <c r="L19" s="16">
        <f>G19-E19</f>
        <v/>
      </c>
      <c r="M19" s="18">
        <f>IF(G19&lt;=F19, "ON-TIME", "DELAYED")</f>
        <v/>
      </c>
    </row>
    <row r="20">
      <c r="A20" s="8" t="inlineStr">
        <is>
          <t>PO-1019</t>
        </is>
      </c>
      <c r="B20" s="8" t="inlineStr">
        <is>
          <t>P120</t>
        </is>
      </c>
      <c r="C20" s="8" t="inlineStr">
        <is>
          <t>S07</t>
        </is>
      </c>
      <c r="D20" s="8" t="inlineStr">
        <is>
          <t>W04</t>
        </is>
      </c>
      <c r="E20" s="8" t="inlineStr">
        <is>
          <t>2026-07-27</t>
        </is>
      </c>
      <c r="F20" s="8" t="inlineStr">
        <is>
          <t>2026-07-29</t>
        </is>
      </c>
      <c r="G20" s="8" t="inlineStr">
        <is>
          <t>2026-07-29</t>
        </is>
      </c>
      <c r="H20" s="10" t="n">
        <v>1000</v>
      </c>
      <c r="I20" s="13" t="n">
        <v>11.8</v>
      </c>
      <c r="J20" s="13">
        <f>H20*I20</f>
        <v/>
      </c>
      <c r="K20" s="8" t="inlineStr">
        <is>
          <t>Completed</t>
        </is>
      </c>
      <c r="L20" s="10">
        <f>G20-E20</f>
        <v/>
      </c>
      <c r="M20" s="11">
        <f>IF(G20&lt;=F20, "ON-TIME", "DELAYED")</f>
        <v/>
      </c>
    </row>
    <row r="21">
      <c r="A21" s="14" t="inlineStr">
        <is>
          <t>PO-1020</t>
        </is>
      </c>
      <c r="B21" s="14" t="inlineStr">
        <is>
          <t>P104</t>
        </is>
      </c>
      <c r="C21" s="14" t="inlineStr">
        <is>
          <t>S05</t>
        </is>
      </c>
      <c r="D21" s="14" t="inlineStr">
        <is>
          <t>W05</t>
        </is>
      </c>
      <c r="E21" s="14" t="inlineStr">
        <is>
          <t>2026-07-27</t>
        </is>
      </c>
      <c r="F21" s="14" t="inlineStr">
        <is>
          <t>2026-08-03</t>
        </is>
      </c>
      <c r="G21" s="14" t="inlineStr">
        <is>
          <t>2026-08-05</t>
        </is>
      </c>
      <c r="H21" s="16" t="n">
        <v>80</v>
      </c>
      <c r="I21" s="17" t="n">
        <v>205</v>
      </c>
      <c r="J21" s="17">
        <f>H21*I21</f>
        <v/>
      </c>
      <c r="K21" s="14" t="inlineStr">
        <is>
          <t>Completed</t>
        </is>
      </c>
      <c r="L21" s="16">
        <f>G21-E21</f>
        <v/>
      </c>
      <c r="M21" s="18">
        <f>IF(G21&lt;=F21, "ON-TIME", "DELAYED")</f>
        <v/>
      </c>
    </row>
    <row r="22">
      <c r="A22" s="8" t="inlineStr">
        <is>
          <t>PO-1021</t>
        </is>
      </c>
      <c r="B22" s="8" t="inlineStr">
        <is>
          <t>P105</t>
        </is>
      </c>
      <c r="C22" s="8" t="inlineStr">
        <is>
          <t>S06</t>
        </is>
      </c>
      <c r="D22" s="8" t="inlineStr">
        <is>
          <t>W01</t>
        </is>
      </c>
      <c r="E22" s="8" t="inlineStr">
        <is>
          <t>2026-07-27</t>
        </is>
      </c>
      <c r="F22" s="8" t="inlineStr">
        <is>
          <t>2026-08-01</t>
        </is>
      </c>
      <c r="G22" s="8" t="inlineStr">
        <is>
          <t>2026-08-01</t>
        </is>
      </c>
      <c r="H22" s="10" t="n">
        <v>120</v>
      </c>
      <c r="I22" s="13" t="n">
        <v>330</v>
      </c>
      <c r="J22" s="13">
        <f>H22*I22</f>
        <v/>
      </c>
      <c r="K22" s="8" t="inlineStr">
        <is>
          <t>Completed</t>
        </is>
      </c>
      <c r="L22" s="10">
        <f>G22-E22</f>
        <v/>
      </c>
      <c r="M22" s="11">
        <f>IF(G22&lt;=F22, "ON-TIME", "DELAYED")</f>
        <v/>
      </c>
    </row>
    <row r="23">
      <c r="A23" s="14" t="inlineStr">
        <is>
          <t>PO-1022</t>
        </is>
      </c>
      <c r="B23" s="14" t="inlineStr">
        <is>
          <t>P113</t>
        </is>
      </c>
      <c r="C23" s="14" t="inlineStr">
        <is>
          <t>S04</t>
        </is>
      </c>
      <c r="D23" s="14" t="inlineStr">
        <is>
          <t>W05</t>
        </is>
      </c>
      <c r="E23" s="14" t="inlineStr">
        <is>
          <t>2026-07-27</t>
        </is>
      </c>
      <c r="F23" s="14" t="inlineStr">
        <is>
          <t>2026-07-31</t>
        </is>
      </c>
      <c r="G23" s="14" t="inlineStr">
        <is>
          <t>2026-07-30</t>
        </is>
      </c>
      <c r="H23" s="16" t="n">
        <v>100</v>
      </c>
      <c r="I23" s="17" t="n">
        <v>175</v>
      </c>
      <c r="J23" s="17">
        <f>H23*I23</f>
        <v/>
      </c>
      <c r="K23" s="14" t="inlineStr">
        <is>
          <t>Completed</t>
        </is>
      </c>
      <c r="L23" s="16">
        <f>G23-E23</f>
        <v/>
      </c>
      <c r="M23" s="18">
        <f>IF(G23&lt;=F23, "ON-TIME", "DELAYED")</f>
        <v/>
      </c>
    </row>
    <row r="24">
      <c r="A24" s="8" t="inlineStr">
        <is>
          <t>PO-1023</t>
        </is>
      </c>
      <c r="B24" s="8" t="inlineStr">
        <is>
          <t>P117</t>
        </is>
      </c>
      <c r="C24" s="8" t="inlineStr">
        <is>
          <t>S04</t>
        </is>
      </c>
      <c r="D24" s="8" t="inlineStr">
        <is>
          <t>W03</t>
        </is>
      </c>
      <c r="E24" s="8" t="inlineStr">
        <is>
          <t>2026-07-27</t>
        </is>
      </c>
      <c r="F24" s="8" t="inlineStr">
        <is>
          <t>2026-07-31</t>
        </is>
      </c>
      <c r="G24" s="8" t="inlineStr">
        <is>
          <t>2026-08-02</t>
        </is>
      </c>
      <c r="H24" s="10" t="n">
        <v>150</v>
      </c>
      <c r="I24" s="13" t="n">
        <v>155</v>
      </c>
      <c r="J24" s="13">
        <f>H24*I24</f>
        <v/>
      </c>
      <c r="K24" s="8" t="inlineStr">
        <is>
          <t>Completed</t>
        </is>
      </c>
      <c r="L24" s="10">
        <f>G24-E24</f>
        <v/>
      </c>
      <c r="M24" s="11">
        <f>IF(G24&lt;=F24, "ON-TIME", "DELAYED")</f>
        <v/>
      </c>
    </row>
    <row r="25">
      <c r="A25" s="14" t="inlineStr">
        <is>
          <t>PO-1024</t>
        </is>
      </c>
      <c r="B25" s="14" t="inlineStr">
        <is>
          <t>P109</t>
        </is>
      </c>
      <c r="C25" s="14" t="inlineStr">
        <is>
          <t>S04</t>
        </is>
      </c>
      <c r="D25" s="14" t="inlineStr">
        <is>
          <t>W01</t>
        </is>
      </c>
      <c r="E25" s="14" t="inlineStr">
        <is>
          <t>2026-07-27</t>
        </is>
      </c>
      <c r="F25" s="14" t="inlineStr">
        <is>
          <t>2026-07-31</t>
        </is>
      </c>
      <c r="G25" s="14" t="inlineStr">
        <is>
          <t>2026-07-30</t>
        </is>
      </c>
      <c r="H25" s="16" t="n">
        <v>300</v>
      </c>
      <c r="I25" s="17" t="n">
        <v>24</v>
      </c>
      <c r="J25" s="17">
        <f>H25*I25</f>
        <v/>
      </c>
      <c r="K25" s="14" t="inlineStr">
        <is>
          <t>Completed</t>
        </is>
      </c>
      <c r="L25" s="16">
        <f>G25-E25</f>
        <v/>
      </c>
      <c r="M25" s="18">
        <f>IF(G25&lt;=F25, "ON-TIME", "DELAYED")</f>
        <v/>
      </c>
    </row>
    <row r="26">
      <c r="A26" s="8" t="inlineStr">
        <is>
          <t>PO-1025</t>
        </is>
      </c>
      <c r="B26" s="8" t="inlineStr">
        <is>
          <t>P101</t>
        </is>
      </c>
      <c r="C26" s="8" t="inlineStr">
        <is>
          <t>S08</t>
        </is>
      </c>
      <c r="D26" s="8" t="inlineStr">
        <is>
          <t>W04</t>
        </is>
      </c>
      <c r="E26" s="8" t="inlineStr">
        <is>
          <t>2026-07-27</t>
        </is>
      </c>
      <c r="F26" s="8" t="inlineStr">
        <is>
          <t>2026-08-14</t>
        </is>
      </c>
      <c r="G26" s="8" t="inlineStr">
        <is>
          <t>2026-08-16</t>
        </is>
      </c>
      <c r="H26" s="10" t="n">
        <v>200</v>
      </c>
      <c r="I26" s="13" t="n">
        <v>115</v>
      </c>
      <c r="J26" s="13">
        <f>H26*I26</f>
        <v/>
      </c>
      <c r="K26" s="8" t="inlineStr">
        <is>
          <t>Completed</t>
        </is>
      </c>
      <c r="L26" s="10">
        <f>G26-E26</f>
        <v/>
      </c>
      <c r="M26" s="11">
        <f>IF(G26&lt;=F26, "ON-TIME", "DELAYED")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5" customWidth="1" min="3" max="3"/>
    <col width="16" customWidth="1" min="4" max="4"/>
    <col width="16" customWidth="1" min="5" max="5"/>
    <col width="12" customWidth="1" min="6" max="6"/>
    <col width="16" customWidth="1" min="7" max="7"/>
  </cols>
  <sheetData>
    <row r="1">
      <c r="A1" s="12" t="inlineStr">
        <is>
          <t>MovementID</t>
        </is>
      </c>
      <c r="B1" s="12" t="inlineStr">
        <is>
          <t>ProductID</t>
        </is>
      </c>
      <c r="C1" s="12" t="inlineStr">
        <is>
          <t>WarehouseID</t>
        </is>
      </c>
      <c r="D1" s="12" t="inlineStr">
        <is>
          <t>MovementDate</t>
        </is>
      </c>
      <c r="E1" s="12" t="inlineStr">
        <is>
          <t>MovementType</t>
        </is>
      </c>
      <c r="F1" s="12" t="inlineStr">
        <is>
          <t>Quantity</t>
        </is>
      </c>
      <c r="G1" s="12" t="inlineStr">
        <is>
          <t>ReferenceDoc</t>
        </is>
      </c>
    </row>
    <row r="2">
      <c r="A2" s="8" t="inlineStr">
        <is>
          <t>M-901</t>
        </is>
      </c>
      <c r="B2" s="8" t="inlineStr">
        <is>
          <t>P101</t>
        </is>
      </c>
      <c r="C2" s="8" t="inlineStr">
        <is>
          <t>W01</t>
        </is>
      </c>
      <c r="D2" s="8" t="inlineStr">
        <is>
          <t>2026-06-18</t>
        </is>
      </c>
      <c r="E2" s="8" t="inlineStr">
        <is>
          <t>Inbound</t>
        </is>
      </c>
      <c r="F2" s="19" t="n">
        <v>200</v>
      </c>
      <c r="G2" s="8" t="inlineStr">
        <is>
          <t>PO-1001</t>
        </is>
      </c>
    </row>
    <row r="3">
      <c r="A3" s="14" t="inlineStr">
        <is>
          <t>M-902</t>
        </is>
      </c>
      <c r="B3" s="14" t="inlineStr">
        <is>
          <t>P101</t>
        </is>
      </c>
      <c r="C3" s="14" t="inlineStr">
        <is>
          <t>W01</t>
        </is>
      </c>
      <c r="D3" s="14" t="inlineStr">
        <is>
          <t>2026-06-20</t>
        </is>
      </c>
      <c r="E3" s="14" t="inlineStr">
        <is>
          <t>Outbound</t>
        </is>
      </c>
      <c r="F3" s="20" t="n">
        <v>-80</v>
      </c>
      <c r="G3" s="14" t="inlineStr">
        <is>
          <t>SO-5011</t>
        </is>
      </c>
    </row>
    <row r="4">
      <c r="A4" s="8" t="inlineStr">
        <is>
          <t>M-903</t>
        </is>
      </c>
      <c r="B4" s="8" t="inlineStr">
        <is>
          <t>P102</t>
        </is>
      </c>
      <c r="C4" s="8" t="inlineStr">
        <is>
          <t>W01</t>
        </is>
      </c>
      <c r="D4" s="8" t="inlineStr">
        <is>
          <t>2026-06-09</t>
        </is>
      </c>
      <c r="E4" s="8" t="inlineStr">
        <is>
          <t>Inbound</t>
        </is>
      </c>
      <c r="F4" s="19" t="n">
        <v>300</v>
      </c>
      <c r="G4" s="8" t="inlineStr">
        <is>
          <t>PO-1002</t>
        </is>
      </c>
    </row>
    <row r="5">
      <c r="A5" s="14" t="inlineStr">
        <is>
          <t>M-904</t>
        </is>
      </c>
      <c r="B5" s="14" t="inlineStr">
        <is>
          <t>P102</t>
        </is>
      </c>
      <c r="C5" s="14" t="inlineStr">
        <is>
          <t>W01</t>
        </is>
      </c>
      <c r="D5" s="14" t="inlineStr">
        <is>
          <t>2026-06-12</t>
        </is>
      </c>
      <c r="E5" s="14" t="inlineStr">
        <is>
          <t>Transfer-Out</t>
        </is>
      </c>
      <c r="F5" s="20" t="n">
        <v>-220</v>
      </c>
      <c r="G5" s="14" t="inlineStr">
        <is>
          <t>TR-301</t>
        </is>
      </c>
    </row>
    <row r="6">
      <c r="A6" s="8" t="inlineStr">
        <is>
          <t>M-905</t>
        </is>
      </c>
      <c r="B6" s="8" t="inlineStr">
        <is>
          <t>P102</t>
        </is>
      </c>
      <c r="C6" s="8" t="inlineStr">
        <is>
          <t>W03</t>
        </is>
      </c>
      <c r="D6" s="8" t="inlineStr">
        <is>
          <t>2026-06-12</t>
        </is>
      </c>
      <c r="E6" s="8" t="inlineStr">
        <is>
          <t>Transfer-In</t>
        </is>
      </c>
      <c r="F6" s="19" t="n">
        <v>220</v>
      </c>
      <c r="G6" s="8" t="inlineStr">
        <is>
          <t>TR-301</t>
        </is>
      </c>
    </row>
    <row r="7">
      <c r="A7" s="14" t="inlineStr">
        <is>
          <t>M-906</t>
        </is>
      </c>
      <c r="B7" s="14" t="inlineStr">
        <is>
          <t>P104</t>
        </is>
      </c>
      <c r="C7" s="14" t="inlineStr">
        <is>
          <t>W01</t>
        </is>
      </c>
      <c r="D7" s="14" t="inlineStr">
        <is>
          <t>2026-06-25</t>
        </is>
      </c>
      <c r="E7" s="14" t="inlineStr">
        <is>
          <t>Outbound</t>
        </is>
      </c>
      <c r="F7" s="20" t="n">
        <v>-15</v>
      </c>
      <c r="G7" s="14" t="inlineStr">
        <is>
          <t>SO-5022</t>
        </is>
      </c>
    </row>
    <row r="8">
      <c r="A8" s="8" t="inlineStr">
        <is>
          <t>M-907</t>
        </is>
      </c>
      <c r="B8" s="8" t="inlineStr">
        <is>
          <t>P105</t>
        </is>
      </c>
      <c r="C8" s="8" t="inlineStr">
        <is>
          <t>W02</t>
        </is>
      </c>
      <c r="D8" s="8" t="inlineStr">
        <is>
          <t>2026-06-24</t>
        </is>
      </c>
      <c r="E8" s="8" t="inlineStr">
        <is>
          <t>Inbound</t>
        </is>
      </c>
      <c r="F8" s="19" t="n">
        <v>100</v>
      </c>
      <c r="G8" s="8" t="inlineStr">
        <is>
          <t>PO-1005</t>
        </is>
      </c>
    </row>
    <row r="9">
      <c r="A9" s="14" t="inlineStr">
        <is>
          <t>M-908</t>
        </is>
      </c>
      <c r="B9" s="14" t="inlineStr">
        <is>
          <t>P101</t>
        </is>
      </c>
      <c r="C9" s="14" t="inlineStr">
        <is>
          <t>W02</t>
        </is>
      </c>
      <c r="D9" s="14" t="inlineStr">
        <is>
          <t>2026-07-14</t>
        </is>
      </c>
      <c r="E9" s="14" t="inlineStr">
        <is>
          <t>Inbound</t>
        </is>
      </c>
      <c r="F9" s="20" t="n">
        <v>150</v>
      </c>
      <c r="G9" s="14" t="inlineStr">
        <is>
          <t>PO-1006</t>
        </is>
      </c>
    </row>
    <row r="10">
      <c r="A10" s="8" t="inlineStr">
        <is>
          <t>M-909</t>
        </is>
      </c>
      <c r="B10" s="8" t="inlineStr">
        <is>
          <t>P103</t>
        </is>
      </c>
      <c r="C10" s="8" t="inlineStr">
        <is>
          <t>W01</t>
        </is>
      </c>
      <c r="D10" s="8" t="inlineStr">
        <is>
          <t>2026-07-15</t>
        </is>
      </c>
      <c r="E10" s="8" t="inlineStr">
        <is>
          <t>Outbound</t>
        </is>
      </c>
      <c r="F10" s="19" t="n">
        <v>-300</v>
      </c>
      <c r="G10" s="8" t="inlineStr">
        <is>
          <t>SO-5045</t>
        </is>
      </c>
    </row>
    <row r="11">
      <c r="A11" s="14" t="inlineStr">
        <is>
          <t>M-910</t>
        </is>
      </c>
      <c r="B11" s="14" t="inlineStr">
        <is>
          <t>P107</t>
        </is>
      </c>
      <c r="C11" s="14" t="inlineStr">
        <is>
          <t>W03</t>
        </is>
      </c>
      <c r="D11" s="14" t="inlineStr">
        <is>
          <t>2026-07-16</t>
        </is>
      </c>
      <c r="E11" s="14" t="inlineStr">
        <is>
          <t>Inbound</t>
        </is>
      </c>
      <c r="F11" s="20" t="n">
        <v>500</v>
      </c>
      <c r="G11" s="14" t="inlineStr">
        <is>
          <t>PO-1009</t>
        </is>
      </c>
    </row>
    <row r="12">
      <c r="A12" s="8" t="inlineStr">
        <is>
          <t>M-911</t>
        </is>
      </c>
      <c r="B12" s="8" t="inlineStr">
        <is>
          <t>P110</t>
        </is>
      </c>
      <c r="C12" s="8" t="inlineStr">
        <is>
          <t>W04</t>
        </is>
      </c>
      <c r="D12" s="8" t="inlineStr">
        <is>
          <t>2026-07-26</t>
        </is>
      </c>
      <c r="E12" s="8" t="inlineStr">
        <is>
          <t>Inbound</t>
        </is>
      </c>
      <c r="F12" s="19" t="n">
        <v>80</v>
      </c>
      <c r="G12" s="8" t="inlineStr">
        <is>
          <t>PO-1011</t>
        </is>
      </c>
    </row>
    <row r="13">
      <c r="A13" s="14" t="inlineStr">
        <is>
          <t>M-912</t>
        </is>
      </c>
      <c r="B13" s="14" t="inlineStr">
        <is>
          <t>P111</t>
        </is>
      </c>
      <c r="C13" s="14" t="inlineStr">
        <is>
          <t>W01</t>
        </is>
      </c>
      <c r="D13" s="14" t="inlineStr">
        <is>
          <t>2026-07-25</t>
        </is>
      </c>
      <c r="E13" s="14" t="inlineStr">
        <is>
          <t>Inbound</t>
        </is>
      </c>
      <c r="F13" s="20" t="n">
        <v>300</v>
      </c>
      <c r="G13" s="14" t="inlineStr">
        <is>
          <t>PO-1012</t>
        </is>
      </c>
    </row>
    <row r="14">
      <c r="A14" s="8" t="inlineStr">
        <is>
          <t>M-913</t>
        </is>
      </c>
      <c r="B14" s="8" t="inlineStr">
        <is>
          <t>P111</t>
        </is>
      </c>
      <c r="C14" s="8" t="inlineStr">
        <is>
          <t>W01</t>
        </is>
      </c>
      <c r="D14" s="8" t="inlineStr">
        <is>
          <t>2026-07-26</t>
        </is>
      </c>
      <c r="E14" s="8" t="inlineStr">
        <is>
          <t>Outbound</t>
        </is>
      </c>
      <c r="F14" s="19" t="n">
        <v>-120</v>
      </c>
      <c r="G14" s="8" t="inlineStr">
        <is>
          <t>SO-5088</t>
        </is>
      </c>
    </row>
    <row r="15">
      <c r="A15" s="14" t="inlineStr">
        <is>
          <t>M-914</t>
        </is>
      </c>
      <c r="B15" s="14" t="inlineStr">
        <is>
          <t>P115</t>
        </is>
      </c>
      <c r="C15" s="14" t="inlineStr">
        <is>
          <t>W04</t>
        </is>
      </c>
      <c r="D15" s="14" t="inlineStr">
        <is>
          <t>2026-07-29</t>
        </is>
      </c>
      <c r="E15" s="14" t="inlineStr">
        <is>
          <t>Inbound</t>
        </is>
      </c>
      <c r="F15" s="20" t="n">
        <v>400</v>
      </c>
      <c r="G15" s="14" t="inlineStr">
        <is>
          <t>PO-1015</t>
        </is>
      </c>
    </row>
    <row r="16">
      <c r="A16" s="8" t="inlineStr">
        <is>
          <t>M-915</t>
        </is>
      </c>
      <c r="B16" s="8" t="inlineStr">
        <is>
          <t>P112</t>
        </is>
      </c>
      <c r="C16" s="8" t="inlineStr">
        <is>
          <t>W02</t>
        </is>
      </c>
      <c r="D16" s="8" t="inlineStr">
        <is>
          <t>2026-07-27</t>
        </is>
      </c>
      <c r="E16" s="8" t="inlineStr">
        <is>
          <t>Outbound</t>
        </is>
      </c>
      <c r="F16" s="19" t="n">
        <v>-40</v>
      </c>
      <c r="G16" s="8" t="inlineStr">
        <is>
          <t>SO-5092</t>
        </is>
      </c>
    </row>
    <row r="17">
      <c r="A17" s="14" t="inlineStr">
        <is>
          <t>M-916</t>
        </is>
      </c>
      <c r="B17" s="14" t="inlineStr">
        <is>
          <t>P118</t>
        </is>
      </c>
      <c r="C17" s="14" t="inlineStr">
        <is>
          <t>W05</t>
        </is>
      </c>
      <c r="D17" s="14" t="inlineStr">
        <is>
          <t>2026-07-27</t>
        </is>
      </c>
      <c r="E17" s="14" t="inlineStr">
        <is>
          <t>Outbound</t>
        </is>
      </c>
      <c r="F17" s="20" t="n">
        <v>-25</v>
      </c>
      <c r="G17" s="14" t="inlineStr">
        <is>
          <t>SO-5095</t>
        </is>
      </c>
    </row>
    <row r="18">
      <c r="A18" s="8" t="inlineStr">
        <is>
          <t>M-917</t>
        </is>
      </c>
      <c r="B18" s="8" t="inlineStr">
        <is>
          <t>P109</t>
        </is>
      </c>
      <c r="C18" s="8" t="inlineStr">
        <is>
          <t>W01</t>
        </is>
      </c>
      <c r="D18" s="8" t="inlineStr">
        <is>
          <t>2026-07-27</t>
        </is>
      </c>
      <c r="E18" s="8" t="inlineStr">
        <is>
          <t>Transfer-Out</t>
        </is>
      </c>
      <c r="F18" s="19" t="n">
        <v>-50</v>
      </c>
      <c r="G18" s="8" t="inlineStr">
        <is>
          <t>TR-305</t>
        </is>
      </c>
    </row>
    <row r="19">
      <c r="A19" s="14" t="inlineStr">
        <is>
          <t>M-918</t>
        </is>
      </c>
      <c r="B19" s="14" t="inlineStr">
        <is>
          <t>P109</t>
        </is>
      </c>
      <c r="C19" s="14" t="inlineStr">
        <is>
          <t>W04</t>
        </is>
      </c>
      <c r="D19" s="14" t="inlineStr">
        <is>
          <t>2026-07-27</t>
        </is>
      </c>
      <c r="E19" s="14" t="inlineStr">
        <is>
          <t>Transfer-In</t>
        </is>
      </c>
      <c r="F19" s="20" t="n">
        <v>50</v>
      </c>
      <c r="G19" s="14" t="inlineStr">
        <is>
          <t>TR-305</t>
        </is>
      </c>
    </row>
    <row r="20">
      <c r="A20" s="8" t="inlineStr">
        <is>
          <t>M-919</t>
        </is>
      </c>
      <c r="B20" s="8" t="inlineStr">
        <is>
          <t>P120</t>
        </is>
      </c>
      <c r="C20" s="8" t="inlineStr">
        <is>
          <t>W04</t>
        </is>
      </c>
      <c r="D20" s="8" t="inlineStr">
        <is>
          <t>2026-07-27</t>
        </is>
      </c>
      <c r="E20" s="8" t="inlineStr">
        <is>
          <t>Outbound</t>
        </is>
      </c>
      <c r="F20" s="19" t="n">
        <v>-150</v>
      </c>
      <c r="G20" s="8" t="inlineStr">
        <is>
          <t>SO-5101</t>
        </is>
      </c>
    </row>
    <row r="21">
      <c r="A21" s="14" t="inlineStr">
        <is>
          <t>M-920</t>
        </is>
      </c>
      <c r="B21" s="14" t="inlineStr">
        <is>
          <t>P117</t>
        </is>
      </c>
      <c r="C21" s="14" t="inlineStr">
        <is>
          <t>W03</t>
        </is>
      </c>
      <c r="D21" s="14" t="inlineStr">
        <is>
          <t>2026-07-27</t>
        </is>
      </c>
      <c r="E21" s="14" t="inlineStr">
        <is>
          <t>Outbound</t>
        </is>
      </c>
      <c r="F21" s="20" t="n">
        <v>-30</v>
      </c>
      <c r="G21" s="14" t="inlineStr">
        <is>
          <t>SO-5104</t>
        </is>
      </c>
    </row>
    <row r="22">
      <c r="A22" s="8" t="inlineStr">
        <is>
          <t>M-921</t>
        </is>
      </c>
      <c r="B22" s="8" t="inlineStr">
        <is>
          <t>P106</t>
        </is>
      </c>
      <c r="C22" s="8" t="inlineStr">
        <is>
          <t>W01</t>
        </is>
      </c>
      <c r="D22" s="8" t="inlineStr">
        <is>
          <t>2026-07-21</t>
        </is>
      </c>
      <c r="E22" s="8" t="inlineStr">
        <is>
          <t>Inbound</t>
        </is>
      </c>
      <c r="F22" s="19" t="n">
        <v>100</v>
      </c>
      <c r="G22" s="8" t="inlineStr">
        <is>
          <t>PO-1007</t>
        </is>
      </c>
    </row>
    <row r="23">
      <c r="A23" s="14" t="inlineStr">
        <is>
          <t>M-922</t>
        </is>
      </c>
      <c r="B23" s="14" t="inlineStr">
        <is>
          <t>P108</t>
        </is>
      </c>
      <c r="C23" s="14" t="inlineStr">
        <is>
          <t>W02</t>
        </is>
      </c>
      <c r="D23" s="14" t="inlineStr">
        <is>
          <t>2026-07-16</t>
        </is>
      </c>
      <c r="E23" s="14" t="inlineStr">
        <is>
          <t>Inbound</t>
        </is>
      </c>
      <c r="F23" s="20" t="n">
        <v>30</v>
      </c>
      <c r="G23" s="14" t="inlineStr">
        <is>
          <t>PO-1008</t>
        </is>
      </c>
    </row>
    <row r="24">
      <c r="A24" s="8" t="inlineStr">
        <is>
          <t>M-923</t>
        </is>
      </c>
      <c r="B24" s="8" t="inlineStr">
        <is>
          <t>P102</t>
        </is>
      </c>
      <c r="C24" s="8" t="inlineStr">
        <is>
          <t>W03</t>
        </is>
      </c>
      <c r="D24" s="8" t="inlineStr">
        <is>
          <t>2026-07-27</t>
        </is>
      </c>
      <c r="E24" s="8" t="inlineStr">
        <is>
          <t>Inbound</t>
        </is>
      </c>
      <c r="F24" s="19" t="n">
        <v>200</v>
      </c>
      <c r="G24" s="8" t="inlineStr">
        <is>
          <t>PO-1010</t>
        </is>
      </c>
    </row>
    <row r="25">
      <c r="A25" s="14" t="inlineStr">
        <is>
          <t>M-924</t>
        </is>
      </c>
      <c r="B25" s="14" t="inlineStr">
        <is>
          <t>P114</t>
        </is>
      </c>
      <c r="C25" s="14" t="inlineStr">
        <is>
          <t>W01</t>
        </is>
      </c>
      <c r="D25" s="14" t="inlineStr">
        <is>
          <t>2026-07-27</t>
        </is>
      </c>
      <c r="E25" s="14" t="inlineStr">
        <is>
          <t>Outbound</t>
        </is>
      </c>
      <c r="F25" s="20" t="n">
        <v>-10</v>
      </c>
      <c r="G25" s="14" t="inlineStr">
        <is>
          <t>SO-5110</t>
        </is>
      </c>
    </row>
    <row r="26">
      <c r="A26" s="8" t="inlineStr">
        <is>
          <t>M-925</t>
        </is>
      </c>
      <c r="B26" s="8" t="inlineStr">
        <is>
          <t>P105</t>
        </is>
      </c>
      <c r="C26" s="8" t="inlineStr">
        <is>
          <t>W02</t>
        </is>
      </c>
      <c r="D26" s="8" t="inlineStr">
        <is>
          <t>2026-07-27</t>
        </is>
      </c>
      <c r="E26" s="8" t="inlineStr">
        <is>
          <t>Outbound</t>
        </is>
      </c>
      <c r="F26" s="19" t="n">
        <v>-20</v>
      </c>
      <c r="G26" s="8" t="inlineStr">
        <is>
          <t>SO-5112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2026-07-27T12:57:48Z</dcterms:created>
  <dcterms:modified xmlns:dcterms="http://purl.org/dc/terms/" xmlns:xsi="http://www.w3.org/2001/XMLSchema-instance" xsi:type="dcterms:W3CDTF">2026-07-27T12:57:49Z</dcterms:modified>
</cp:coreProperties>
</file>